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" windowWidth="14595" windowHeight="9075"/>
  </bookViews>
  <sheets>
    <sheet name="Product Price List" sheetId="1" r:id="rId1"/>
    <sheet name="RawData1" sheetId="7" r:id="rId2"/>
    <sheet name="Indexnumbers" sheetId="8" r:id="rId3"/>
    <sheet name="Sorting" sheetId="13" r:id="rId4"/>
    <sheet name="MainOperation" sheetId="2" r:id="rId5"/>
    <sheet name="RoundOff" sheetId="15" r:id="rId6"/>
  </sheets>
  <definedNames>
    <definedName name="_xlnm.Print_Area" localSheetId="0">'Product Price List'!$A$1:$E$61</definedName>
    <definedName name="usd" localSheetId="3">Sorting!$B$1:$D$150</definedName>
    <definedName name="usd_1" localSheetId="1">RawData1!$A$1:$C$150</definedName>
    <definedName name="usd_1" localSheetId="3">Sorting!$B$1:$D$150</definedName>
    <definedName name="usd_10" localSheetId="3">Sorting!$B$1:$D$150</definedName>
    <definedName name="usd_11" localSheetId="3">Sorting!$B$1:$D$150</definedName>
    <definedName name="usd_12" localSheetId="3">Sorting!$B$1:$D$150</definedName>
    <definedName name="usd_13" localSheetId="3">Sorting!$B$1:$D$150</definedName>
    <definedName name="usd_2" localSheetId="3">Sorting!$B$1:$D$150</definedName>
    <definedName name="usd_3" localSheetId="3">Sorting!$B$1:$D$150</definedName>
    <definedName name="usd_4" localSheetId="3">Sorting!$B$1:$D$150</definedName>
    <definedName name="usd_5" localSheetId="3">Sorting!$B$1:$D$150</definedName>
    <definedName name="usd_6" localSheetId="3">Sorting!$B$1:$D$150</definedName>
    <definedName name="usd_7" localSheetId="3">Sorting!$A$1:$C$150</definedName>
    <definedName name="usd_8" localSheetId="3">Sorting!$A$1:$C$150</definedName>
    <definedName name="usd_9" localSheetId="3">Sorting!$B$1:$D$150</definedName>
  </definedNames>
  <calcPr calcId="144525"/>
</workbook>
</file>

<file path=xl/calcChain.xml><?xml version="1.0" encoding="utf-8"?>
<calcChain xmlns="http://schemas.openxmlformats.org/spreadsheetml/2006/main">
  <c r="H35" i="2" l="1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H10" i="2" s="1"/>
  <c r="H10" i="15" s="1"/>
  <c r="I15" i="1" s="1"/>
  <c r="F28" i="2"/>
  <c r="E28" i="2"/>
  <c r="F10" i="2" s="1"/>
  <c r="F10" i="15" s="1"/>
  <c r="G15" i="1" s="1"/>
  <c r="D28" i="2"/>
  <c r="E10" i="2" s="1"/>
  <c r="E10" i="15" s="1"/>
  <c r="F15" i="1" s="1"/>
  <c r="C28" i="2"/>
  <c r="D10" i="2" s="1"/>
  <c r="D10" i="15" s="1"/>
  <c r="E15" i="1" s="1"/>
  <c r="H27" i="2"/>
  <c r="G27" i="2"/>
  <c r="H9" i="2" s="1"/>
  <c r="H9" i="15" s="1"/>
  <c r="I14" i="1" s="1"/>
  <c r="F27" i="2"/>
  <c r="G9" i="2" s="1"/>
  <c r="G9" i="15" s="1"/>
  <c r="H14" i="1" s="1"/>
  <c r="E27" i="2"/>
  <c r="F9" i="2" s="1"/>
  <c r="F9" i="15" s="1"/>
  <c r="G14" i="1" s="1"/>
  <c r="D27" i="2"/>
  <c r="C27" i="2"/>
  <c r="H26" i="2"/>
  <c r="I8" i="2" s="1"/>
  <c r="I8" i="15" s="1"/>
  <c r="J13" i="1" s="1"/>
  <c r="G26" i="2"/>
  <c r="H8" i="2" s="1"/>
  <c r="H8" i="15" s="1"/>
  <c r="I13" i="1" s="1"/>
  <c r="F26" i="2"/>
  <c r="E26" i="2"/>
  <c r="F8" i="2" s="1"/>
  <c r="F8" i="15" s="1"/>
  <c r="G13" i="1" s="1"/>
  <c r="D26" i="2"/>
  <c r="E8" i="2" s="1"/>
  <c r="E8" i="15" s="1"/>
  <c r="F13" i="1" s="1"/>
  <c r="C26" i="2"/>
  <c r="D8" i="2" s="1"/>
  <c r="D8" i="15" s="1"/>
  <c r="E13" i="1" s="1"/>
  <c r="H25" i="2"/>
  <c r="G25" i="2"/>
  <c r="H7" i="2" s="1"/>
  <c r="H7" i="15" s="1"/>
  <c r="I12" i="1" s="1"/>
  <c r="F25" i="2"/>
  <c r="G7" i="2" s="1"/>
  <c r="G7" i="15" s="1"/>
  <c r="H12" i="1" s="1"/>
  <c r="E25" i="2"/>
  <c r="F7" i="2" s="1"/>
  <c r="F7" i="15" s="1"/>
  <c r="G12" i="1" s="1"/>
  <c r="D25" i="2"/>
  <c r="E7" i="2" s="1"/>
  <c r="E7" i="15" s="1"/>
  <c r="F12" i="1" s="1"/>
  <c r="C25" i="2"/>
  <c r="D7" i="2" s="1"/>
  <c r="D7" i="15" s="1"/>
  <c r="E12" i="1" s="1"/>
  <c r="H24" i="2"/>
  <c r="I6" i="2" s="1"/>
  <c r="I6" i="15" s="1"/>
  <c r="J11" i="1" s="1"/>
  <c r="G24" i="2"/>
  <c r="H6" i="2" s="1"/>
  <c r="H6" i="15" s="1"/>
  <c r="I11" i="1" s="1"/>
  <c r="F24" i="2"/>
  <c r="E24" i="2"/>
  <c r="F6" i="2" s="1"/>
  <c r="F6" i="15" s="1"/>
  <c r="G11" i="1" s="1"/>
  <c r="D24" i="2"/>
  <c r="C24" i="2"/>
  <c r="D6" i="2" s="1"/>
  <c r="D6" i="15" s="1"/>
  <c r="E11" i="1" s="1"/>
  <c r="H23" i="2"/>
  <c r="G23" i="2"/>
  <c r="H5" i="2" s="1"/>
  <c r="H5" i="15" s="1"/>
  <c r="F23" i="2"/>
  <c r="G5" i="2" s="1"/>
  <c r="G5" i="15" s="1"/>
  <c r="H10" i="1" s="1"/>
  <c r="E23" i="2"/>
  <c r="F5" i="2" s="1"/>
  <c r="F5" i="15" s="1"/>
  <c r="G10" i="1" s="1"/>
  <c r="D23" i="2"/>
  <c r="E5" i="2" s="1"/>
  <c r="E5" i="15" s="1"/>
  <c r="F10" i="1" s="1"/>
  <c r="C23" i="2"/>
  <c r="D5" i="2" s="1"/>
  <c r="D5" i="15" s="1"/>
  <c r="E10" i="1" s="1"/>
  <c r="H22" i="2"/>
  <c r="G22" i="2"/>
  <c r="H4" i="2" s="1"/>
  <c r="H4" i="15" s="1"/>
  <c r="I9" i="1" s="1"/>
  <c r="F22" i="2"/>
  <c r="E22" i="2"/>
  <c r="F4" i="2" s="1"/>
  <c r="F4" i="15" s="1"/>
  <c r="G9" i="1" s="1"/>
  <c r="D22" i="2"/>
  <c r="E4" i="2" s="1"/>
  <c r="E4" i="15" s="1"/>
  <c r="F9" i="1" s="1"/>
  <c r="C22" i="2"/>
  <c r="D4" i="2" s="1"/>
  <c r="D4" i="15" s="1"/>
  <c r="E9" i="1" s="1"/>
  <c r="H21" i="2"/>
  <c r="G21" i="2"/>
  <c r="H3" i="2" s="1"/>
  <c r="H3" i="15" s="1"/>
  <c r="I8" i="1" s="1"/>
  <c r="F21" i="2"/>
  <c r="G3" i="2" s="1"/>
  <c r="G3" i="15" s="1"/>
  <c r="H8" i="1" s="1"/>
  <c r="E21" i="2"/>
  <c r="F3" i="2" s="1"/>
  <c r="F3" i="15" s="1"/>
  <c r="G8" i="1" s="1"/>
  <c r="D21" i="2"/>
  <c r="E3" i="2" s="1"/>
  <c r="E3" i="15" s="1"/>
  <c r="F8" i="1" s="1"/>
  <c r="C21" i="2"/>
  <c r="D3" i="2" s="1"/>
  <c r="D3" i="15" s="1"/>
  <c r="E8" i="1" s="1"/>
  <c r="H20" i="2"/>
  <c r="I2" i="2" s="1"/>
  <c r="I2" i="15" s="1"/>
  <c r="J7" i="1" s="1"/>
  <c r="G20" i="2"/>
  <c r="H2" i="2" s="1"/>
  <c r="H2" i="15" s="1"/>
  <c r="I7" i="1" s="1"/>
  <c r="F20" i="2"/>
  <c r="G2" i="2" s="1"/>
  <c r="G2" i="15" s="1"/>
  <c r="H7" i="1" s="1"/>
  <c r="E20" i="2"/>
  <c r="F2" i="2" s="1"/>
  <c r="F2" i="15" s="1"/>
  <c r="G7" i="1" s="1"/>
  <c r="D20" i="2"/>
  <c r="E2" i="2" s="1"/>
  <c r="E2" i="15" s="1"/>
  <c r="F7" i="1" s="1"/>
  <c r="C20" i="2"/>
  <c r="D2" i="2" s="1"/>
  <c r="D2" i="15" s="1"/>
  <c r="E7" i="1" s="1"/>
  <c r="I17" i="2"/>
  <c r="I17" i="15" s="1"/>
  <c r="J22" i="1" s="1"/>
  <c r="H17" i="2"/>
  <c r="H17" i="15" s="1"/>
  <c r="I22" i="1" s="1"/>
  <c r="G17" i="2"/>
  <c r="G17" i="15" s="1"/>
  <c r="H22" i="1" s="1"/>
  <c r="F17" i="2"/>
  <c r="F17" i="15" s="1"/>
  <c r="G22" i="1" s="1"/>
  <c r="E17" i="2"/>
  <c r="E17" i="15" s="1"/>
  <c r="F22" i="1" s="1"/>
  <c r="D17" i="2"/>
  <c r="D17" i="15" s="1"/>
  <c r="E22" i="1" s="1"/>
  <c r="I16" i="2"/>
  <c r="I16" i="15" s="1"/>
  <c r="J21" i="1" s="1"/>
  <c r="H16" i="2"/>
  <c r="H16" i="15" s="1"/>
  <c r="I21" i="1" s="1"/>
  <c r="G16" i="2"/>
  <c r="G16" i="15" s="1"/>
  <c r="H21" i="1" s="1"/>
  <c r="F16" i="2"/>
  <c r="F16" i="15" s="1"/>
  <c r="G21" i="1" s="1"/>
  <c r="E16" i="2"/>
  <c r="E16" i="15" s="1"/>
  <c r="F21" i="1" s="1"/>
  <c r="D16" i="2"/>
  <c r="D16" i="15" s="1"/>
  <c r="E21" i="1" s="1"/>
  <c r="I15" i="2"/>
  <c r="I15" i="15" s="1"/>
  <c r="J20" i="1" s="1"/>
  <c r="H15" i="2"/>
  <c r="H15" i="15" s="1"/>
  <c r="I20" i="1" s="1"/>
  <c r="G15" i="2"/>
  <c r="G15" i="15" s="1"/>
  <c r="H20" i="1" s="1"/>
  <c r="F15" i="2"/>
  <c r="F15" i="15" s="1"/>
  <c r="G20" i="1" s="1"/>
  <c r="E15" i="2"/>
  <c r="E15" i="15" s="1"/>
  <c r="F20" i="1" s="1"/>
  <c r="D15" i="2"/>
  <c r="D15" i="15" s="1"/>
  <c r="E20" i="1" s="1"/>
  <c r="I14" i="2"/>
  <c r="I14" i="15" s="1"/>
  <c r="J19" i="1" s="1"/>
  <c r="H14" i="2"/>
  <c r="H14" i="15" s="1"/>
  <c r="I19" i="1" s="1"/>
  <c r="G14" i="2"/>
  <c r="G14" i="15" s="1"/>
  <c r="H19" i="1" s="1"/>
  <c r="F14" i="2"/>
  <c r="F14" i="15" s="1"/>
  <c r="G19" i="1" s="1"/>
  <c r="E14" i="2"/>
  <c r="E14" i="15" s="1"/>
  <c r="F19" i="1" s="1"/>
  <c r="D14" i="2"/>
  <c r="D14" i="15" s="1"/>
  <c r="E19" i="1" s="1"/>
  <c r="I13" i="2"/>
  <c r="I13" i="15" s="1"/>
  <c r="J18" i="1" s="1"/>
  <c r="H13" i="2"/>
  <c r="H13" i="15" s="1"/>
  <c r="I18" i="1" s="1"/>
  <c r="G13" i="2"/>
  <c r="G13" i="15" s="1"/>
  <c r="H18" i="1" s="1"/>
  <c r="F13" i="2"/>
  <c r="F13" i="15" s="1"/>
  <c r="G18" i="1" s="1"/>
  <c r="E13" i="2"/>
  <c r="E13" i="15" s="1"/>
  <c r="F18" i="1" s="1"/>
  <c r="D13" i="2"/>
  <c r="D13" i="15" s="1"/>
  <c r="E18" i="1" s="1"/>
  <c r="I12" i="2"/>
  <c r="I12" i="15" s="1"/>
  <c r="J17" i="1" s="1"/>
  <c r="H12" i="2"/>
  <c r="H12" i="15" s="1"/>
  <c r="I17" i="1" s="1"/>
  <c r="G12" i="2"/>
  <c r="G12" i="15" s="1"/>
  <c r="H17" i="1" s="1"/>
  <c r="F12" i="2"/>
  <c r="F12" i="15" s="1"/>
  <c r="G17" i="1" s="1"/>
  <c r="E12" i="2"/>
  <c r="E12" i="15" s="1"/>
  <c r="F17" i="1" s="1"/>
  <c r="D12" i="2"/>
  <c r="D12" i="15" s="1"/>
  <c r="E17" i="1" s="1"/>
  <c r="I11" i="2"/>
  <c r="I11" i="15" s="1"/>
  <c r="J16" i="1" s="1"/>
  <c r="H11" i="2"/>
  <c r="H11" i="15" s="1"/>
  <c r="I16" i="1" s="1"/>
  <c r="G11" i="2"/>
  <c r="G11" i="15" s="1"/>
  <c r="H16" i="1" s="1"/>
  <c r="F11" i="2"/>
  <c r="F11" i="15" s="1"/>
  <c r="G16" i="1" s="1"/>
  <c r="E11" i="2"/>
  <c r="E11" i="15" s="1"/>
  <c r="F16" i="1" s="1"/>
  <c r="D11" i="2"/>
  <c r="D11" i="15" s="1"/>
  <c r="E16" i="1" s="1"/>
  <c r="I10" i="2"/>
  <c r="I10" i="15" s="1"/>
  <c r="J15" i="1" s="1"/>
  <c r="G10" i="2"/>
  <c r="G10" i="15" s="1"/>
  <c r="H15" i="1" s="1"/>
  <c r="O9" i="2"/>
  <c r="I9" i="2"/>
  <c r="I9" i="15" s="1"/>
  <c r="J14" i="1" s="1"/>
  <c r="E9" i="2"/>
  <c r="E9" i="15" s="1"/>
  <c r="F14" i="1" s="1"/>
  <c r="D9" i="2"/>
  <c r="D9" i="15" s="1"/>
  <c r="E14" i="1" s="1"/>
  <c r="O8" i="2"/>
  <c r="G8" i="2"/>
  <c r="G8" i="15" s="1"/>
  <c r="H13" i="1" s="1"/>
  <c r="O7" i="2"/>
  <c r="I7" i="2"/>
  <c r="I7" i="15" s="1"/>
  <c r="J12" i="1" s="1"/>
  <c r="O6" i="2"/>
  <c r="G6" i="2"/>
  <c r="G6" i="15" s="1"/>
  <c r="H11" i="1" s="1"/>
  <c r="E6" i="2"/>
  <c r="E6" i="15" s="1"/>
  <c r="F11" i="1" s="1"/>
  <c r="O5" i="2"/>
  <c r="I5" i="2"/>
  <c r="I5" i="15" s="1"/>
  <c r="J10" i="1" s="1"/>
  <c r="O4" i="2"/>
  <c r="I4" i="2"/>
  <c r="I4" i="15" s="1"/>
  <c r="J9" i="1" s="1"/>
  <c r="G4" i="2"/>
  <c r="G4" i="15" s="1"/>
  <c r="H9" i="1" s="1"/>
  <c r="I3" i="2"/>
  <c r="I3" i="15" s="1"/>
  <c r="J8" i="1" s="1"/>
  <c r="D22" i="1"/>
  <c r="D21" i="1"/>
  <c r="D20" i="1"/>
  <c r="D19" i="1"/>
  <c r="D18" i="1"/>
  <c r="D17" i="1"/>
  <c r="D16" i="1"/>
  <c r="D15" i="1"/>
  <c r="D14" i="1"/>
  <c r="D13" i="1"/>
  <c r="D12" i="1"/>
  <c r="D11" i="1"/>
  <c r="I10" i="1"/>
  <c r="D10" i="1"/>
  <c r="D9" i="1"/>
  <c r="D8" i="1"/>
  <c r="D7" i="1"/>
</calcChain>
</file>

<file path=xl/connections.xml><?xml version="1.0" encoding="utf-8"?>
<connections xmlns="http://schemas.openxmlformats.org/spreadsheetml/2006/main">
  <connection id="1" name="usd" type="4" reconnectionMethod="2" refreshedVersion="4" minRefreshableVersion="1" background="1">
    <webPr xml="1" sourceData="1" parsePre="1" consecutive="1" xl2000="1" url="http://www.floatrates.com/daily/usd.xml" htmlTables="1"/>
  </connection>
  <connection id="2" name="usd1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  <connection id="3" interval="720" name="usd11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4" interval="720" name="usd12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5" interval="720" name="usd13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6" interval="720" name="usd14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7" interval="720" name="usd15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8" interval="720" name="usd16" type="4" reconnectionMethod="2" refreshedVersion="4" minRefreshableVersion="1" deleted="1" background="1" saveData="1">
    <webPr xml="1" sourceData="1" parsePre="1" consecutive="1" xl2000="1" url="http://www.floatrates.com/daily/usd.xml" htmlTables="1"/>
  </connection>
  <connection id="9" interval="720" name="usd17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10" interval="720" name="usd18" type="4" reconnectionMethod="2" refreshedVersion="4" minRefreshableVersion="1" deleted="1" background="1" refreshOnLoad="1" saveData="1">
    <webPr xml="1" sourceData="1" parsePre="1" consecutive="1" xl2000="1" url="http://www.floatrates.com/daily/usd.xml" htmlTables="1"/>
  </connection>
  <connection id="11" interval="720" name="usd19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  <connection id="12" name="usd2" type="4" reconnectionMethod="2" refreshedVersion="4" minRefreshableVersion="1" background="1" saveData="1">
    <webPr xml="1" sourceData="1" parsePre="1" consecutive="1" xl2000="1" url="http://www.floatrates.com/daily/usd.xml" htmlTables="1"/>
  </connection>
  <connection id="13" name="usd3" type="4" reconnectionMethod="2" refreshedVersion="4" minRefreshableVersion="1" background="1" saveData="1">
    <webPr xml="1" sourceData="1" parsePre="1" consecutive="1" xl2000="1" url="http://www.floatrates.com/daily/usd.xml" htmlTables="1"/>
  </connection>
</connections>
</file>

<file path=xl/sharedStrings.xml><?xml version="1.0" encoding="utf-8"?>
<sst xmlns="http://schemas.openxmlformats.org/spreadsheetml/2006/main" count="699" uniqueCount="338">
  <si>
    <t>Product Number</t>
  </si>
  <si>
    <t>2018 Pricing list</t>
  </si>
  <si>
    <t>[Arise Enterprices], [Address], [City, ST  ZIP Code], [Phone] Fax: [FAX] Web Site: [URL]</t>
  </si>
  <si>
    <t>USD</t>
  </si>
  <si>
    <t>EURO</t>
  </si>
  <si>
    <t>AUD</t>
  </si>
  <si>
    <t>GBP</t>
  </si>
  <si>
    <t>Product number</t>
  </si>
  <si>
    <t>Eiusmod</t>
  </si>
  <si>
    <t>irure</t>
  </si>
  <si>
    <t>nostrud</t>
  </si>
  <si>
    <t xml:space="preserve">magna </t>
  </si>
  <si>
    <t xml:space="preserve">fugiat </t>
  </si>
  <si>
    <t>anim</t>
  </si>
  <si>
    <t>veniam</t>
  </si>
  <si>
    <t>deserunt</t>
  </si>
  <si>
    <t>adipisicing</t>
  </si>
  <si>
    <t xml:space="preserve"> minim</t>
  </si>
  <si>
    <t>pariatur</t>
  </si>
  <si>
    <t xml:space="preserve">Consectetur </t>
  </si>
  <si>
    <t>tempor</t>
  </si>
  <si>
    <t xml:space="preserve"> adipisicing</t>
  </si>
  <si>
    <t>voluptate</t>
  </si>
  <si>
    <t>ullamco</t>
  </si>
  <si>
    <t>EUR</t>
  </si>
  <si>
    <t>CAD</t>
  </si>
  <si>
    <t>JPY</t>
  </si>
  <si>
    <t>CHF</t>
  </si>
  <si>
    <t>TZS</t>
  </si>
  <si>
    <t>CNY</t>
  </si>
  <si>
    <t>KWD</t>
  </si>
  <si>
    <t>HUF</t>
  </si>
  <si>
    <t>NGN</t>
  </si>
  <si>
    <t>AMD</t>
  </si>
  <si>
    <t>UYU</t>
  </si>
  <si>
    <t>GYD</t>
  </si>
  <si>
    <t>RWF</t>
  </si>
  <si>
    <t>MZN</t>
  </si>
  <si>
    <t>MNT</t>
  </si>
  <si>
    <t>NZD</t>
  </si>
  <si>
    <t>HRK</t>
  </si>
  <si>
    <t>BYN</t>
  </si>
  <si>
    <t>MDL</t>
  </si>
  <si>
    <t>NIO</t>
  </si>
  <si>
    <t>NAD</t>
  </si>
  <si>
    <t>SYP</t>
  </si>
  <si>
    <t>TOP</t>
  </si>
  <si>
    <t>SAR</t>
  </si>
  <si>
    <t>HKD</t>
  </si>
  <si>
    <t>QAR</t>
  </si>
  <si>
    <t>UZS</t>
  </si>
  <si>
    <t>PAB</t>
  </si>
  <si>
    <t>XCD</t>
  </si>
  <si>
    <t>LAK</t>
  </si>
  <si>
    <t>CUP</t>
  </si>
  <si>
    <t>ZAR</t>
  </si>
  <si>
    <t>MXN</t>
  </si>
  <si>
    <t>LYD</t>
  </si>
  <si>
    <t>IQD</t>
  </si>
  <si>
    <t>SVC</t>
  </si>
  <si>
    <t>AWG</t>
  </si>
  <si>
    <t>AOA</t>
  </si>
  <si>
    <t>KHR</t>
  </si>
  <si>
    <t>CZK</t>
  </si>
  <si>
    <t>THB</t>
  </si>
  <si>
    <t>XOF</t>
  </si>
  <si>
    <t>EGP</t>
  </si>
  <si>
    <t>RSD</t>
  </si>
  <si>
    <t>STN</t>
  </si>
  <si>
    <t>DJF</t>
  </si>
  <si>
    <t>HNL</t>
  </si>
  <si>
    <t>NPR</t>
  </si>
  <si>
    <t>SOS</t>
  </si>
  <si>
    <t>KRW</t>
  </si>
  <si>
    <t>BGN</t>
  </si>
  <si>
    <t>PGK</t>
  </si>
  <si>
    <t>AZN</t>
  </si>
  <si>
    <t>PYG</t>
  </si>
  <si>
    <t>FJD</t>
  </si>
  <si>
    <t>CDF</t>
  </si>
  <si>
    <t>LSL</t>
  </si>
  <si>
    <t>WST</t>
  </si>
  <si>
    <t>MUR</t>
  </si>
  <si>
    <t>ISK</t>
  </si>
  <si>
    <t>PKR</t>
  </si>
  <si>
    <t>KGS</t>
  </si>
  <si>
    <t>CRC</t>
  </si>
  <si>
    <t>LRD</t>
  </si>
  <si>
    <t>SDG</t>
  </si>
  <si>
    <t>MRU</t>
  </si>
  <si>
    <t>BAM</t>
  </si>
  <si>
    <t>DZD</t>
  </si>
  <si>
    <t>PLN</t>
  </si>
  <si>
    <t>BRL</t>
  </si>
  <si>
    <t>GIP</t>
  </si>
  <si>
    <t>TMT</t>
  </si>
  <si>
    <t>MGA</t>
  </si>
  <si>
    <t>TTD</t>
  </si>
  <si>
    <t>ANG</t>
  </si>
  <si>
    <t>DOP</t>
  </si>
  <si>
    <t>BND</t>
  </si>
  <si>
    <t>SGD</t>
  </si>
  <si>
    <t>ILS</t>
  </si>
  <si>
    <t>TND</t>
  </si>
  <si>
    <t>IRR</t>
  </si>
  <si>
    <t>VES</t>
  </si>
  <si>
    <t>CVE</t>
  </si>
  <si>
    <t>ZMW</t>
  </si>
  <si>
    <t>YER</t>
  </si>
  <si>
    <t>COP</t>
  </si>
  <si>
    <t>XAF</t>
  </si>
  <si>
    <t>OMR</t>
  </si>
  <si>
    <t>GHS</t>
  </si>
  <si>
    <t>MKD</t>
  </si>
  <si>
    <t>XPF</t>
  </si>
  <si>
    <t>ALL</t>
  </si>
  <si>
    <t>MVR</t>
  </si>
  <si>
    <t>INR</t>
  </si>
  <si>
    <t>BBD</t>
  </si>
  <si>
    <t>VND</t>
  </si>
  <si>
    <t>MAD</t>
  </si>
  <si>
    <t>ARS</t>
  </si>
  <si>
    <t>BZD</t>
  </si>
  <si>
    <t>KMF</t>
  </si>
  <si>
    <t>SZL</t>
  </si>
  <si>
    <t>KES</t>
  </si>
  <si>
    <t>UGX</t>
  </si>
  <si>
    <t>MYR</t>
  </si>
  <si>
    <t>RON</t>
  </si>
  <si>
    <t>PEN</t>
  </si>
  <si>
    <t>KZT</t>
  </si>
  <si>
    <t>BOB</t>
  </si>
  <si>
    <t>JMD</t>
  </si>
  <si>
    <t>SSP</t>
  </si>
  <si>
    <t>ERN</t>
  </si>
  <si>
    <t>VUV</t>
  </si>
  <si>
    <t>NOK</t>
  </si>
  <si>
    <t>TRY</t>
  </si>
  <si>
    <t>BDT</t>
  </si>
  <si>
    <t>TJS</t>
  </si>
  <si>
    <t>AFN</t>
  </si>
  <si>
    <t>SRD</t>
  </si>
  <si>
    <t>HTG</t>
  </si>
  <si>
    <t>MOP</t>
  </si>
  <si>
    <t>BWP</t>
  </si>
  <si>
    <t>RUB</t>
  </si>
  <si>
    <t>IDR</t>
  </si>
  <si>
    <t>BHD</t>
  </si>
  <si>
    <t>UAH</t>
  </si>
  <si>
    <t>ETB</t>
  </si>
  <si>
    <t>SBD</t>
  </si>
  <si>
    <t>MWK</t>
  </si>
  <si>
    <t>GTQ</t>
  </si>
  <si>
    <t>CLP</t>
  </si>
  <si>
    <t>SEK</t>
  </si>
  <si>
    <t>PHP</t>
  </si>
  <si>
    <t>MRO</t>
  </si>
  <si>
    <t>LBP</t>
  </si>
  <si>
    <t>GMD</t>
  </si>
  <si>
    <t>BIF</t>
  </si>
  <si>
    <t>MMK</t>
  </si>
  <si>
    <t>LKR</t>
  </si>
  <si>
    <t>DKK</t>
  </si>
  <si>
    <t>AED</t>
  </si>
  <si>
    <t>TWD</t>
  </si>
  <si>
    <t>JOD</t>
  </si>
  <si>
    <t>GEL</t>
  </si>
  <si>
    <t>BSD</t>
  </si>
  <si>
    <t>GNF</t>
  </si>
  <si>
    <t>SLL</t>
  </si>
  <si>
    <t>SCR</t>
  </si>
  <si>
    <t>Euro</t>
  </si>
  <si>
    <t>U.K. Pound Sterling</t>
  </si>
  <si>
    <t>Australian Dollar</t>
  </si>
  <si>
    <t>Canadian Dollar</t>
  </si>
  <si>
    <t>Japanese Yen</t>
  </si>
  <si>
    <t>Swiss Franc</t>
  </si>
  <si>
    <t>Tanzanian shilling</t>
  </si>
  <si>
    <t>Chinese Yuan</t>
  </si>
  <si>
    <t>Kuwaiti Dinar</t>
  </si>
  <si>
    <t>Hungarian Forint</t>
  </si>
  <si>
    <t>Nigerian Naira</t>
  </si>
  <si>
    <t>Armenia Dram</t>
  </si>
  <si>
    <t>Uruguayan Peso</t>
  </si>
  <si>
    <t>Guyanese dollar</t>
  </si>
  <si>
    <t>Rwandan franc</t>
  </si>
  <si>
    <t>Mozambican metical</t>
  </si>
  <si>
    <t>Mongolian togrog</t>
  </si>
  <si>
    <t>New Zealand Dollar</t>
  </si>
  <si>
    <t>Croatian Kuna</t>
  </si>
  <si>
    <t>Belarussian Ruble</t>
  </si>
  <si>
    <t>Moldova Lei</t>
  </si>
  <si>
    <t>Nicaraguan Córdoba</t>
  </si>
  <si>
    <t>Namibian dollar</t>
  </si>
  <si>
    <t>Syrian pound</t>
  </si>
  <si>
    <t>Tongan paʻanga</t>
  </si>
  <si>
    <t>Saudi Riyal</t>
  </si>
  <si>
    <t>Hong Kong Dollar</t>
  </si>
  <si>
    <t>Qatari Rial</t>
  </si>
  <si>
    <t>Uzbekistan Sum</t>
  </si>
  <si>
    <t>Panamanian Balboa</t>
  </si>
  <si>
    <t>East Caribbean Dollar</t>
  </si>
  <si>
    <t>Lao kip</t>
  </si>
  <si>
    <t>Cuban peso</t>
  </si>
  <si>
    <t>South African Rand</t>
  </si>
  <si>
    <t>Mexican Peso</t>
  </si>
  <si>
    <t>Libyan Dinar</t>
  </si>
  <si>
    <t>Iraqi dinar</t>
  </si>
  <si>
    <t>Salvadoran colon</t>
  </si>
  <si>
    <t>Aruban florin</t>
  </si>
  <si>
    <t>Angolan kwanza</t>
  </si>
  <si>
    <t>Cambodian riel</t>
  </si>
  <si>
    <t>Czech Koruna</t>
  </si>
  <si>
    <t>Thai Baht</t>
  </si>
  <si>
    <t>West African CFA Franc</t>
  </si>
  <si>
    <t>Egyptian Pound</t>
  </si>
  <si>
    <t>Serbian Dinar</t>
  </si>
  <si>
    <t>São Tomé and Príncipe Dobra</t>
  </si>
  <si>
    <t>Djiboutian franc</t>
  </si>
  <si>
    <t>Honduran Lempira</t>
  </si>
  <si>
    <t>Nepalese Rupee</t>
  </si>
  <si>
    <t>Somali shilling</t>
  </si>
  <si>
    <t>South Korean Won</t>
  </si>
  <si>
    <t>Bulgarian Lev</t>
  </si>
  <si>
    <t>Papua New Guinean kina</t>
  </si>
  <si>
    <t>Azerbaijan Manat</t>
  </si>
  <si>
    <t>Paraguayan Guaraní</t>
  </si>
  <si>
    <t>Fiji Dollar</t>
  </si>
  <si>
    <t>Congolese franc</t>
  </si>
  <si>
    <t>Lesotho loti</t>
  </si>
  <si>
    <t>Samoan tala</t>
  </si>
  <si>
    <t>Mauritian Rupee</t>
  </si>
  <si>
    <t>Icelandic Krona</t>
  </si>
  <si>
    <t>Pakistani Rupee</t>
  </si>
  <si>
    <t>Kyrgyzstan Som</t>
  </si>
  <si>
    <t>Costa Rican Colón</t>
  </si>
  <si>
    <t>Liberian dollar</t>
  </si>
  <si>
    <t>Sudanese pound</t>
  </si>
  <si>
    <t>Mauritanian ouguiya</t>
  </si>
  <si>
    <t>Bosnia and Herzegovina convertible mark</t>
  </si>
  <si>
    <t>Algerian Dinar</t>
  </si>
  <si>
    <t>Polish Zloty</t>
  </si>
  <si>
    <t>Brazilian Real</t>
  </si>
  <si>
    <t>Gibraltar pound</t>
  </si>
  <si>
    <t>New Turkmenistan Manat</t>
  </si>
  <si>
    <t>Malagasy ariary</t>
  </si>
  <si>
    <t>Trinidad Tobago Dollar</t>
  </si>
  <si>
    <t>Neth. Antillean Guilder</t>
  </si>
  <si>
    <t>Dominican Peso</t>
  </si>
  <si>
    <t>Brunei Dollar</t>
  </si>
  <si>
    <t>Singapore Dollar</t>
  </si>
  <si>
    <t>Israeli New Sheqel</t>
  </si>
  <si>
    <t>Tunisian Dinar</t>
  </si>
  <si>
    <t>Iranian rial</t>
  </si>
  <si>
    <t>Venezuelan Bolivar</t>
  </si>
  <si>
    <t>Cape Verde escudo</t>
  </si>
  <si>
    <t>Zambian kwacha</t>
  </si>
  <si>
    <t>Yemeni rial</t>
  </si>
  <si>
    <t>Colombian Peso</t>
  </si>
  <si>
    <t>Central African CFA Franc</t>
  </si>
  <si>
    <t>Omani Rial</t>
  </si>
  <si>
    <t>Ghanaian Cedi</t>
  </si>
  <si>
    <t>Macedonian denar</t>
  </si>
  <si>
    <t>CFP Franc</t>
  </si>
  <si>
    <t>Albanian lek</t>
  </si>
  <si>
    <t>Maldivian rufiyaa</t>
  </si>
  <si>
    <t>Indian Rupee</t>
  </si>
  <si>
    <t>Barbadian Dollar</t>
  </si>
  <si>
    <t>Vietnamese Dong</t>
  </si>
  <si>
    <t>Moroccan Dirham</t>
  </si>
  <si>
    <t>Argentine Peso</t>
  </si>
  <si>
    <t>Belize dollar</t>
  </si>
  <si>
    <t>Comoro franc</t>
  </si>
  <si>
    <t>Swazi lilangeni</t>
  </si>
  <si>
    <t>Kenyan shilling</t>
  </si>
  <si>
    <t>Ugandan shilling</t>
  </si>
  <si>
    <t>Malaysian Ringgit</t>
  </si>
  <si>
    <t>Romanian New Leu</t>
  </si>
  <si>
    <t>Peruvian Nuevo Sol</t>
  </si>
  <si>
    <t>Kazakhstani Tenge</t>
  </si>
  <si>
    <t>Bolivian Boliviano</t>
  </si>
  <si>
    <t>Jamaican Dollar</t>
  </si>
  <si>
    <t>South Sudanese pound</t>
  </si>
  <si>
    <t>Eritrean nakfa</t>
  </si>
  <si>
    <t>Vanuatu vatu</t>
  </si>
  <si>
    <t>Norwegian Krone</t>
  </si>
  <si>
    <t>Turkish Lira</t>
  </si>
  <si>
    <t>Bangladeshi taka</t>
  </si>
  <si>
    <t>Tajikistan Ruble</t>
  </si>
  <si>
    <t>Afghan afghani</t>
  </si>
  <si>
    <t>Surinamese dollar</t>
  </si>
  <si>
    <t>Haitian gourde</t>
  </si>
  <si>
    <t>Macanese pataca</t>
  </si>
  <si>
    <t>Botswana Pula</t>
  </si>
  <si>
    <t>Russian Rouble</t>
  </si>
  <si>
    <t>Indonesian Rupiah</t>
  </si>
  <si>
    <t>Bahrain Dinar</t>
  </si>
  <si>
    <t>Ukrainian Hryvnia</t>
  </si>
  <si>
    <t>Ethiopian birr</t>
  </si>
  <si>
    <t>Solomon Islands dollar</t>
  </si>
  <si>
    <t>Malawian kwacha</t>
  </si>
  <si>
    <t>Guatemalan Quetzal</t>
  </si>
  <si>
    <t>Chilean Peso</t>
  </si>
  <si>
    <t>Swedish Krona</t>
  </si>
  <si>
    <t>Philippine Peso</t>
  </si>
  <si>
    <t>Mauritanian Ouguiya</t>
  </si>
  <si>
    <t>Lebanese Pound</t>
  </si>
  <si>
    <t>Gambian dalasi</t>
  </si>
  <si>
    <t>Burundian franc</t>
  </si>
  <si>
    <t>Myanma Kyat</t>
  </si>
  <si>
    <t>Sri Lanka Rupee</t>
  </si>
  <si>
    <t>Danish Krone</t>
  </si>
  <si>
    <t>U.A.E Dirham</t>
  </si>
  <si>
    <t>New Taiwan Dollar</t>
  </si>
  <si>
    <t>Jordanian Dinar</t>
  </si>
  <si>
    <t>Georgian lari</t>
  </si>
  <si>
    <t>Bahamian Dollar</t>
  </si>
  <si>
    <t>Guinean franc</t>
  </si>
  <si>
    <t>Sierra Leonean leone</t>
  </si>
  <si>
    <t>Seychelles rupee</t>
  </si>
  <si>
    <t>Currency Name</t>
  </si>
  <si>
    <t>Code</t>
  </si>
  <si>
    <t>Rate per 1 USD</t>
  </si>
  <si>
    <t>Rate</t>
  </si>
  <si>
    <t>Currency</t>
  </si>
  <si>
    <t>Product name</t>
  </si>
  <si>
    <t>Currency table</t>
  </si>
  <si>
    <t>Product Name</t>
  </si>
  <si>
    <t>Price in USD Per Unit</t>
  </si>
  <si>
    <t>Price in EURO Per Unit</t>
  </si>
  <si>
    <t>Price in AUD  Per Unit</t>
  </si>
  <si>
    <t>Price in GBP Per Unit</t>
  </si>
  <si>
    <t>Price in INR Per Unit</t>
  </si>
  <si>
    <t>Price in CNY Per Unit</t>
  </si>
  <si>
    <t>Price in CAD Per Unit</t>
  </si>
  <si>
    <t>Total Quanitity available</t>
  </si>
  <si>
    <t>Last updated [09/12/2020]</t>
  </si>
  <si>
    <t>Use Cnrl-m to run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</si>
</sst>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12" x14ac:knownFonts="1">
    <font>
      <sz val="10"/>
      <name val="Arial"/>
    </font>
    <font>
      <sz val="10"/>
      <name val="Tahoma"/>
      <family val="2"/>
    </font>
    <font>
      <sz val="8"/>
      <name val="Arial"/>
    </font>
    <font>
      <sz val="11"/>
      <name val="Tahoma"/>
      <family val="2"/>
    </font>
    <font>
      <i/>
      <sz val="10"/>
      <name val="Tahoma"/>
      <family val="2"/>
    </font>
    <font>
      <b/>
      <sz val="10"/>
      <color indexed="9"/>
      <name val="Tahoma"/>
      <family val="2"/>
    </font>
    <font>
      <b/>
      <sz val="26"/>
      <name val="Tahoma"/>
      <family val="2"/>
    </font>
    <font>
      <b/>
      <i/>
      <sz val="9"/>
      <name val="Tahoma"/>
      <family val="2"/>
    </font>
    <font>
      <sz val="9"/>
      <color rgb="FF000000"/>
      <name val="Consolas"/>
      <family val="3"/>
    </font>
    <font>
      <sz val="10"/>
      <name val="Arial"/>
      <family val="2"/>
    </font>
    <font>
      <b/>
      <sz val="11"/>
      <name val="Tahoma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</borders>
  <cellStyleXfs count="2">
    <xf numFmtId="0" fontId="0" fillId="0" borderId="0"/>
    <xf numFmtId="0" fontId="9" fillId="0" borderId="0"/>
  </cellStyleXfs>
  <cellXfs count="39">
    <xf numFmtId="0" fontId="0" fillId="0" borderId="0" xfId="0"/>
    <xf numFmtId="0" fontId="3" fillId="2" borderId="0" xfId="0" applyFont="1" applyFill="1"/>
    <xf numFmtId="0" fontId="1" fillId="2" borderId="0" xfId="0" applyFont="1" applyFill="1" applyBorder="1"/>
    <xf numFmtId="0" fontId="1" fillId="2" borderId="0" xfId="0" applyFont="1" applyFill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right"/>
    </xf>
    <xf numFmtId="0" fontId="1" fillId="2" borderId="0" xfId="0" applyFont="1" applyFill="1" applyAlignment="1"/>
    <xf numFmtId="0" fontId="1" fillId="2" borderId="1" xfId="0" applyFont="1" applyFill="1" applyBorder="1"/>
    <xf numFmtId="0" fontId="1" fillId="2" borderId="2" xfId="0" applyFont="1" applyFill="1" applyBorder="1" applyAlignment="1">
      <alignment wrapText="1"/>
    </xf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0" fontId="1" fillId="2" borderId="4" xfId="0" applyFont="1" applyFill="1" applyBorder="1"/>
    <xf numFmtId="0" fontId="1" fillId="2" borderId="5" xfId="0" applyFont="1" applyFill="1" applyBorder="1" applyAlignment="1">
      <alignment wrapText="1"/>
    </xf>
    <xf numFmtId="164" fontId="1" fillId="2" borderId="5" xfId="0" applyNumberFormat="1" applyFont="1" applyFill="1" applyBorder="1"/>
    <xf numFmtId="164" fontId="1" fillId="2" borderId="6" xfId="0" applyNumberFormat="1" applyFont="1" applyFill="1" applyBorder="1"/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wrapText="1"/>
    </xf>
    <xf numFmtId="164" fontId="1" fillId="4" borderId="10" xfId="0" applyNumberFormat="1" applyFont="1" applyFill="1" applyBorder="1"/>
    <xf numFmtId="164" fontId="1" fillId="4" borderId="11" xfId="0" applyNumberFormat="1" applyFont="1" applyFill="1" applyBorder="1"/>
    <xf numFmtId="0" fontId="1" fillId="4" borderId="1" xfId="0" applyFont="1" applyFill="1" applyBorder="1"/>
    <xf numFmtId="0" fontId="1" fillId="4" borderId="2" xfId="0" applyFont="1" applyFill="1" applyBorder="1" applyAlignment="1">
      <alignment wrapText="1"/>
    </xf>
    <xf numFmtId="164" fontId="1" fillId="4" borderId="2" xfId="0" applyNumberFormat="1" applyFont="1" applyFill="1" applyBorder="1"/>
    <xf numFmtId="164" fontId="1" fillId="4" borderId="3" xfId="0" applyNumberFormat="1" applyFont="1" applyFill="1" applyBorder="1"/>
    <xf numFmtId="0" fontId="8" fillId="0" borderId="0" xfId="0" applyFont="1"/>
    <xf numFmtId="0" fontId="9" fillId="0" borderId="0" xfId="0" applyFont="1"/>
    <xf numFmtId="4" fontId="0" fillId="0" borderId="0" xfId="0" applyNumberFormat="1"/>
    <xf numFmtId="0" fontId="9" fillId="0" borderId="0" xfId="0" applyFont="1" applyAlignment="1">
      <alignment horizontal="right"/>
    </xf>
    <xf numFmtId="0" fontId="9" fillId="0" borderId="0" xfId="0" applyNumberFormat="1" applyFont="1"/>
    <xf numFmtId="0" fontId="1" fillId="4" borderId="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5" borderId="0" xfId="0" applyFill="1"/>
    <xf numFmtId="0" fontId="10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213F75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3FBF7"/>
      <rgbColor rgb="00CCFFCC"/>
      <rgbColor rgb="00FFFF99"/>
      <rgbColor rgb="005B7D7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  <xsd:element minOccurs="0" nillable="true" type="xsd:double" name="inverseRate" form="unqualified"/>
                  <xsd:element minOccurs="0" nillable="true" type="xsd:string" name="inverseDescription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  <xsd:element minOccurs="0" nillable="true" type="xsd:double" name="inverseRate" form="unqualified"/>
                  <xsd:element minOccurs="0" nillable="true" type="xsd:string" name="inverseDescription" form="unqualified"/>
                </xsd:sequence>
              </xsd:complexType>
            </xsd:element>
          </xsd:sequence>
        </xsd:complexType>
      </xsd:element>
    </xsd:schema>
  </Schema>
  <Map ID="1" Name="channel_Map" RootElement="channel" SchemaID="Schema1" ShowImportExportValidationErrors="false" AutoFit="true" Append="false" PreserveSortAFLayout="true" PreserveFormat="true">
    <DataBinding FileBinding="true" ConnectionID="1" DataBindingLoadMode="1"/>
  </Map>
  <Map ID="2" Name="channel_Map1" RootElement="channel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1</xdr:row>
      <xdr:rowOff>428625</xdr:rowOff>
    </xdr:from>
    <xdr:to>
      <xdr:col>3</xdr:col>
      <xdr:colOff>762000</xdr:colOff>
      <xdr:row>3</xdr:row>
      <xdr:rowOff>57150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4019550" y="609600"/>
          <a:ext cx="32004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IN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For unlisted items, call us at </a:t>
          </a:r>
          <a:r>
            <a:rPr lang="en-IN" sz="9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[phone number]</a:t>
          </a:r>
        </a:p>
      </xdr:txBody>
    </xdr:sp>
    <xdr:clientData/>
  </xdr:twoCellAnchor>
  <xdr:twoCellAnchor>
    <xdr:from>
      <xdr:col>0</xdr:col>
      <xdr:colOff>1038225</xdr:colOff>
      <xdr:row>2</xdr:row>
      <xdr:rowOff>152400</xdr:rowOff>
    </xdr:from>
    <xdr:to>
      <xdr:col>1</xdr:col>
      <xdr:colOff>1876425</xdr:colOff>
      <xdr:row>3</xdr:row>
      <xdr:rowOff>285750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1038225" y="790575"/>
          <a:ext cx="20574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900"/>
            </a:lnSpc>
            <a:defRPr sz="1000"/>
          </a:pPr>
          <a:endParaRPr lang="en-IN" sz="9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oneCellAnchor>
    <xdr:from>
      <xdr:col>10</xdr:col>
      <xdr:colOff>133350</xdr:colOff>
      <xdr:row>0</xdr:row>
      <xdr:rowOff>133351</xdr:rowOff>
    </xdr:from>
    <xdr:ext cx="6629400" cy="6600824"/>
    <xdr:sp macro="" textlink="">
      <xdr:nvSpPr>
        <xdr:cNvPr id="5" name="TextBox 4"/>
        <xdr:cNvSpPr txBox="1"/>
      </xdr:nvSpPr>
      <xdr:spPr>
        <a:xfrm>
          <a:off x="7953375" y="133351"/>
          <a:ext cx="6629400" cy="6600824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What does  Live_Price_Qoute_Genrator do?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IN" sz="1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1) it imports  currency exhange rate data from  http://www.floatrates.com/daily/usd.xml &amp; pastes it on the sheet "RawData1"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2) This imported data is unsorted and not indexed, hence we must sort it and index it.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2) Index number listed  are on the sheet "Indexnumbers"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3) Press ctrl-m as a macro shortcut to:-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 Copy the index numbers from "Indexnumbers" to "Sorting" and paste it on A coloum.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Copy the  imported index numbers from "RawData1" to "Sorting" and paste it on B column.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Sort this imported data on "B column" in assending order.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4) The index number assigned to the relevant currencies are:-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EUR - 45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AUD -   9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GBP -  140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INR -   59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CAD - 25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	CNY - 39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5) We use VLOOPUP(Indexnumber's cell,Range of sorted data,column no 4,FALSE) to extract the exhange rates of such 6 currencies with respect to USD.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6) In the  sheet "MainOperation", we enter the prices of our products in USD, and multiply it witht the exhange rates.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7) In the sheet "RoundOff" we  use excel fucntion ROUNDOFF(convertedPrice,2) to round off the prices to qoute to two decimal points.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8) Finally we import the data in the Product Price List which is correctly formated with the relevant currencies.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9) Such Qouted price list can be sent to customers all over the world !</a:t>
          </a:r>
        </a:p>
        <a:p>
          <a:endParaRPr lang="en-IN" sz="1400" baseline="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371474</xdr:colOff>
      <xdr:row>1</xdr:row>
      <xdr:rowOff>19050</xdr:rowOff>
    </xdr:from>
    <xdr:ext cx="9629775" cy="2503121"/>
    <xdr:sp macro="" textlink="">
      <xdr:nvSpPr>
        <xdr:cNvPr id="2" name="TextBox 1"/>
        <xdr:cNvSpPr txBox="1"/>
      </xdr:nvSpPr>
      <xdr:spPr>
        <a:xfrm>
          <a:off x="4076699" y="180975"/>
          <a:ext cx="9629775" cy="2503121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lvl="0"/>
          <a:endParaRPr lang="en-IN" sz="1400" b="0" i="0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Debugging:-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For data import errors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1. open data tab in excel, go to sheet "Rawdata1".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2. Click on the A1 cell in "RawData1", and use cnrl-a to select the whole table and delete it.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400" baseline="0">
              <a:solidFill>
                <a:schemeClr val="bg1"/>
              </a:solidFill>
            </a:rPr>
            <a:t>3. </a:t>
          </a:r>
          <a:r>
            <a:rPr kumimoji="0" lang="en-IN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the cell A1, </a:t>
          </a:r>
          <a:r>
            <a:rPr lang="en-IN" sz="1400" baseline="0">
              <a:solidFill>
                <a:schemeClr val="bg1"/>
              </a:solidFill>
            </a:rPr>
            <a:t>Select import data from other sources, from xml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4. </a:t>
          </a:r>
          <a:r>
            <a:rPr lang="en-IN" sz="14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Make sure you have working internet</a:t>
          </a:r>
          <a:endParaRPr lang="en-IN" sz="1400" baseline="0">
            <a:solidFill>
              <a:schemeClr val="bg1"/>
            </a:solidFill>
          </a:endParaRPr>
        </a:p>
        <a:p>
          <a:pPr lvl="0"/>
          <a:r>
            <a:rPr lang="en-IN" sz="1400" baseline="0">
              <a:solidFill>
                <a:schemeClr val="bg1"/>
              </a:solidFill>
            </a:rPr>
            <a:t>3. Instead of the file name enter the link "http://www.floatrates.com/daily/usd.xml" in it and click open.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4. Import data dialog will appear, check 2nd option "existing worksheet" and enter cell "=$A1$1" (make sure you are in sheet "RawData1")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4. Run Macro with cnrl-m to sort the new data and the excel will update itself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usd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usd_13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usd_12" connectionId="1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usd_1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usd_10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usd_3" refreshOnLoad="1" growShrinkType="overwriteClear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usd_9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usd_8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usd_4" refreshOnLoad="1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usd_2" refreshOnLoad="1" growShrinkType="overwriteClear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usd_7" refreshOnLoad="1" growShrinkType="overwriteClear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usd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usd_5" refreshOnLoad="1" growShrinkType="overwriteClear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usd" refreshOnLoad="1" growShrinkType="overwriteClear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usd_6" growShrinkType="overwriteClear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showGridLines="0" tabSelected="1" zoomScaleNormal="100" workbookViewId="0">
      <selection activeCell="J19" sqref="J19"/>
    </sheetView>
  </sheetViews>
  <sheetFormatPr defaultRowHeight="12.75" x14ac:dyDescent="0.2"/>
  <cols>
    <col min="1" max="1" width="13.5703125" style="3" customWidth="1"/>
    <col min="2" max="2" width="17" style="3" customWidth="1"/>
    <col min="3" max="3" width="11.7109375" style="3" customWidth="1"/>
    <col min="4" max="4" width="11.5703125" style="3" bestFit="1" customWidth="1"/>
    <col min="5" max="10" width="10.5703125" style="3" bestFit="1" customWidth="1"/>
    <col min="11" max="16384" width="9.140625" style="3"/>
  </cols>
  <sheetData>
    <row r="1" spans="1:10" s="1" customFormat="1" ht="23.25" customHeight="1" x14ac:dyDescent="0.2">
      <c r="A1" s="34" t="s">
        <v>2</v>
      </c>
      <c r="B1" s="35"/>
      <c r="C1" s="35"/>
      <c r="D1" s="35"/>
      <c r="E1" s="35"/>
      <c r="F1" s="35"/>
      <c r="G1" s="35"/>
      <c r="H1" s="35"/>
      <c r="I1" s="35"/>
      <c r="J1" s="35"/>
    </row>
    <row r="2" spans="1:10" s="2" customFormat="1" ht="36" customHeight="1" x14ac:dyDescent="0.4">
      <c r="A2" s="36" t="s">
        <v>1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7.25" customHeight="1" x14ac:dyDescent="0.2">
      <c r="A3" s="37"/>
      <c r="B3" s="37"/>
      <c r="C3" s="37"/>
      <c r="D3" s="37"/>
      <c r="E3" s="37"/>
      <c r="F3" s="37"/>
      <c r="G3" s="37"/>
      <c r="H3" s="37"/>
      <c r="I3" s="37"/>
      <c r="J3" s="37"/>
    </row>
    <row r="4" spans="1:10" s="7" customFormat="1" ht="12.75" customHeight="1" thickBot="1" x14ac:dyDescent="0.25">
      <c r="A4" s="4"/>
      <c r="B4" s="5"/>
      <c r="C4" s="4"/>
      <c r="D4" s="4"/>
      <c r="E4" s="6"/>
      <c r="F4" s="6"/>
      <c r="G4" s="6"/>
      <c r="H4" s="6"/>
      <c r="I4" s="6"/>
      <c r="J4" s="6" t="s">
        <v>336</v>
      </c>
    </row>
    <row r="5" spans="1:10" ht="39" thickBot="1" x14ac:dyDescent="0.25">
      <c r="A5" s="16" t="s">
        <v>0</v>
      </c>
      <c r="B5" s="17" t="s">
        <v>335</v>
      </c>
      <c r="C5" s="17" t="s">
        <v>327</v>
      </c>
      <c r="D5" s="17" t="s">
        <v>328</v>
      </c>
      <c r="E5" s="17" t="s">
        <v>329</v>
      </c>
      <c r="F5" s="17" t="s">
        <v>330</v>
      </c>
      <c r="G5" s="17" t="s">
        <v>331</v>
      </c>
      <c r="H5" s="17" t="s">
        <v>332</v>
      </c>
      <c r="I5" s="17" t="s">
        <v>334</v>
      </c>
      <c r="J5" s="17" t="s">
        <v>333</v>
      </c>
    </row>
    <row r="6" spans="1:10" x14ac:dyDescent="0.2">
      <c r="A6" s="30"/>
      <c r="B6" s="30"/>
      <c r="C6" s="18"/>
      <c r="D6" s="19"/>
      <c r="E6" s="19"/>
      <c r="F6" s="20"/>
      <c r="G6" s="20"/>
      <c r="H6" s="20"/>
      <c r="I6" s="20"/>
      <c r="J6" s="20"/>
    </row>
    <row r="7" spans="1:10" x14ac:dyDescent="0.2">
      <c r="A7" s="31">
        <v>1</v>
      </c>
      <c r="B7" s="31">
        <v>15</v>
      </c>
      <c r="C7" s="9" t="s">
        <v>8</v>
      </c>
      <c r="D7" s="9">
        <f>RoundOff!C2</f>
        <v>100</v>
      </c>
      <c r="E7" s="9">
        <f>RoundOff!D2</f>
        <v>82.04</v>
      </c>
      <c r="F7" s="9">
        <f>RoundOff!E2</f>
        <v>131.81</v>
      </c>
      <c r="G7" s="9">
        <f>RoundOff!F2</f>
        <v>73.819999999999993</v>
      </c>
      <c r="H7" s="9">
        <f>RoundOff!G2</f>
        <v>7362.01</v>
      </c>
      <c r="I7" s="9">
        <f>RoundOff!H2</f>
        <v>128.46</v>
      </c>
      <c r="J7" s="9">
        <f>RoundOff!I2</f>
        <v>653.21</v>
      </c>
    </row>
    <row r="8" spans="1:10" x14ac:dyDescent="0.2">
      <c r="A8" s="32">
        <v>2</v>
      </c>
      <c r="B8" s="32">
        <v>30</v>
      </c>
      <c r="C8" s="22" t="s">
        <v>9</v>
      </c>
      <c r="D8" s="22">
        <f>RoundOff!C3</f>
        <v>80</v>
      </c>
      <c r="E8" s="22">
        <f>RoundOff!D3</f>
        <v>65.64</v>
      </c>
      <c r="F8" s="22">
        <f>RoundOff!E3</f>
        <v>105.45</v>
      </c>
      <c r="G8" s="22">
        <f>RoundOff!F3</f>
        <v>59.05</v>
      </c>
      <c r="H8" s="22">
        <f>RoundOff!G3</f>
        <v>5889.61</v>
      </c>
      <c r="I8" s="22">
        <f>RoundOff!H3</f>
        <v>102.77</v>
      </c>
      <c r="J8" s="22">
        <f>RoundOff!I3</f>
        <v>522.57000000000005</v>
      </c>
    </row>
    <row r="9" spans="1:10" x14ac:dyDescent="0.2">
      <c r="A9" s="31">
        <v>3</v>
      </c>
      <c r="B9" s="31">
        <v>70</v>
      </c>
      <c r="C9" s="9" t="s">
        <v>11</v>
      </c>
      <c r="D9" s="9">
        <f>RoundOff!C4</f>
        <v>50</v>
      </c>
      <c r="E9" s="9">
        <f>RoundOff!D4</f>
        <v>41.02</v>
      </c>
      <c r="F9" s="9">
        <f>RoundOff!E4</f>
        <v>65.91</v>
      </c>
      <c r="G9" s="9">
        <f>RoundOff!F4</f>
        <v>36.909999999999997</v>
      </c>
      <c r="H9" s="9">
        <f>RoundOff!G4</f>
        <v>3681.01</v>
      </c>
      <c r="I9" s="9">
        <f>RoundOff!H4</f>
        <v>64.23</v>
      </c>
      <c r="J9" s="9">
        <f>RoundOff!I4</f>
        <v>326.60000000000002</v>
      </c>
    </row>
    <row r="10" spans="1:10" x14ac:dyDescent="0.2">
      <c r="A10" s="32">
        <v>4</v>
      </c>
      <c r="B10" s="32">
        <v>70</v>
      </c>
      <c r="C10" s="22" t="s">
        <v>12</v>
      </c>
      <c r="D10" s="22">
        <f>RoundOff!C5</f>
        <v>15</v>
      </c>
      <c r="E10" s="22">
        <f>RoundOff!D5</f>
        <v>12.31</v>
      </c>
      <c r="F10" s="22">
        <f>RoundOff!E5</f>
        <v>19.77</v>
      </c>
      <c r="G10" s="22">
        <f>RoundOff!F5</f>
        <v>11.07</v>
      </c>
      <c r="H10" s="22">
        <f>RoundOff!G5</f>
        <v>1104.3</v>
      </c>
      <c r="I10" s="22">
        <f>RoundOff!H5</f>
        <v>19.27</v>
      </c>
      <c r="J10" s="22">
        <f>RoundOff!I5</f>
        <v>97.98</v>
      </c>
    </row>
    <row r="11" spans="1:10" x14ac:dyDescent="0.2">
      <c r="A11" s="31">
        <v>5</v>
      </c>
      <c r="B11" s="31">
        <v>70</v>
      </c>
      <c r="C11" s="9" t="s">
        <v>10</v>
      </c>
      <c r="D11" s="9">
        <f>RoundOff!C6</f>
        <v>12.5</v>
      </c>
      <c r="E11" s="9">
        <f>RoundOff!D6</f>
        <v>10.26</v>
      </c>
      <c r="F11" s="9">
        <f>RoundOff!E6</f>
        <v>16.48</v>
      </c>
      <c r="G11" s="9">
        <f>RoundOff!F6</f>
        <v>9.23</v>
      </c>
      <c r="H11" s="9">
        <f>RoundOff!G6</f>
        <v>920.25</v>
      </c>
      <c r="I11" s="9">
        <f>RoundOff!H6</f>
        <v>16.059999999999999</v>
      </c>
      <c r="J11" s="9">
        <f>RoundOff!I6</f>
        <v>81.650000000000006</v>
      </c>
    </row>
    <row r="12" spans="1:10" x14ac:dyDescent="0.2">
      <c r="A12" s="32">
        <v>6</v>
      </c>
      <c r="B12" s="32">
        <v>70</v>
      </c>
      <c r="C12" s="22" t="s">
        <v>13</v>
      </c>
      <c r="D12" s="22">
        <f>RoundOff!C7</f>
        <v>12.5</v>
      </c>
      <c r="E12" s="22">
        <f>RoundOff!D7</f>
        <v>10.26</v>
      </c>
      <c r="F12" s="22">
        <f>RoundOff!E7</f>
        <v>16.48</v>
      </c>
      <c r="G12" s="22">
        <f>RoundOff!F7</f>
        <v>9.23</v>
      </c>
      <c r="H12" s="22">
        <f>RoundOff!G7</f>
        <v>920.25</v>
      </c>
      <c r="I12" s="22">
        <f>RoundOff!H7</f>
        <v>16.059999999999999</v>
      </c>
      <c r="J12" s="22">
        <f>RoundOff!I7</f>
        <v>81.650000000000006</v>
      </c>
    </row>
    <row r="13" spans="1:10" x14ac:dyDescent="0.2">
      <c r="A13" s="31">
        <v>7</v>
      </c>
      <c r="B13" s="31">
        <v>70</v>
      </c>
      <c r="C13" s="9" t="s">
        <v>14</v>
      </c>
      <c r="D13" s="9">
        <f>RoundOff!C8</f>
        <v>12.5</v>
      </c>
      <c r="E13" s="9">
        <f>RoundOff!D8</f>
        <v>10.26</v>
      </c>
      <c r="F13" s="9">
        <f>RoundOff!E8</f>
        <v>16.48</v>
      </c>
      <c r="G13" s="9">
        <f>RoundOff!F8</f>
        <v>9.23</v>
      </c>
      <c r="H13" s="9">
        <f>RoundOff!G8</f>
        <v>920.25</v>
      </c>
      <c r="I13" s="9">
        <f>RoundOff!H8</f>
        <v>16.059999999999999</v>
      </c>
      <c r="J13" s="9">
        <f>RoundOff!I8</f>
        <v>81.650000000000006</v>
      </c>
    </row>
    <row r="14" spans="1:10" x14ac:dyDescent="0.2">
      <c r="A14" s="32">
        <v>8</v>
      </c>
      <c r="B14" s="32">
        <v>70</v>
      </c>
      <c r="C14" s="22" t="s">
        <v>15</v>
      </c>
      <c r="D14" s="22">
        <f>RoundOff!C9</f>
        <v>12.5</v>
      </c>
      <c r="E14" s="22">
        <f>RoundOff!D9</f>
        <v>10.26</v>
      </c>
      <c r="F14" s="22">
        <f>RoundOff!E9</f>
        <v>16.48</v>
      </c>
      <c r="G14" s="22">
        <f>RoundOff!F9</f>
        <v>9.23</v>
      </c>
      <c r="H14" s="22">
        <f>RoundOff!G9</f>
        <v>920.25</v>
      </c>
      <c r="I14" s="22">
        <f>RoundOff!H9</f>
        <v>16.059999999999999</v>
      </c>
      <c r="J14" s="22">
        <f>RoundOff!I9</f>
        <v>81.650000000000006</v>
      </c>
    </row>
    <row r="15" spans="1:10" x14ac:dyDescent="0.2">
      <c r="A15" s="31">
        <v>9</v>
      </c>
      <c r="B15" s="31">
        <v>70</v>
      </c>
      <c r="C15" s="9" t="s">
        <v>16</v>
      </c>
      <c r="D15" s="9">
        <f>RoundOff!C10</f>
        <v>10</v>
      </c>
      <c r="E15" s="9">
        <f>RoundOff!D10</f>
        <v>8.1999999999999993</v>
      </c>
      <c r="F15" s="9">
        <f>RoundOff!E10</f>
        <v>13.18</v>
      </c>
      <c r="G15" s="9">
        <f>RoundOff!F10</f>
        <v>7.38</v>
      </c>
      <c r="H15" s="9">
        <f>RoundOff!G10</f>
        <v>736.2</v>
      </c>
      <c r="I15" s="9">
        <f>RoundOff!H10</f>
        <v>12.85</v>
      </c>
      <c r="J15" s="9">
        <f>RoundOff!I10</f>
        <v>65.319999999999993</v>
      </c>
    </row>
    <row r="16" spans="1:10" x14ac:dyDescent="0.2">
      <c r="A16" s="32">
        <v>10</v>
      </c>
      <c r="B16" s="32">
        <v>70</v>
      </c>
      <c r="C16" s="22" t="s">
        <v>17</v>
      </c>
      <c r="D16" s="22">
        <f>RoundOff!C11</f>
        <v>10</v>
      </c>
      <c r="E16" s="22">
        <f>RoundOff!D11</f>
        <v>8.1999999999999993</v>
      </c>
      <c r="F16" s="22">
        <f>RoundOff!E11</f>
        <v>13.18</v>
      </c>
      <c r="G16" s="22">
        <f>RoundOff!F11</f>
        <v>7.38</v>
      </c>
      <c r="H16" s="22">
        <f>RoundOff!G11</f>
        <v>736.2</v>
      </c>
      <c r="I16" s="22">
        <f>RoundOff!H11</f>
        <v>12.85</v>
      </c>
      <c r="J16" s="22">
        <f>RoundOff!I11</f>
        <v>65.319999999999993</v>
      </c>
    </row>
    <row r="17" spans="1:10" x14ac:dyDescent="0.2">
      <c r="A17" s="31">
        <v>11</v>
      </c>
      <c r="B17" s="31">
        <v>70</v>
      </c>
      <c r="C17" s="9" t="s">
        <v>18</v>
      </c>
      <c r="D17" s="9">
        <f>RoundOff!C12</f>
        <v>10</v>
      </c>
      <c r="E17" s="9">
        <f>RoundOff!D12</f>
        <v>8.1999999999999993</v>
      </c>
      <c r="F17" s="9">
        <f>RoundOff!E12</f>
        <v>13.18</v>
      </c>
      <c r="G17" s="9">
        <f>RoundOff!F12</f>
        <v>7.38</v>
      </c>
      <c r="H17" s="9">
        <f>RoundOff!G12</f>
        <v>736.2</v>
      </c>
      <c r="I17" s="9">
        <f>RoundOff!H12</f>
        <v>12.85</v>
      </c>
      <c r="J17" s="9">
        <f>RoundOff!I12</f>
        <v>65.319999999999993</v>
      </c>
    </row>
    <row r="18" spans="1:10" x14ac:dyDescent="0.2">
      <c r="A18" s="32">
        <v>12</v>
      </c>
      <c r="B18" s="32">
        <v>70</v>
      </c>
      <c r="C18" s="22" t="s">
        <v>19</v>
      </c>
      <c r="D18" s="22">
        <f>RoundOff!C13</f>
        <v>10</v>
      </c>
      <c r="E18" s="22">
        <f>RoundOff!D13</f>
        <v>8.1999999999999993</v>
      </c>
      <c r="F18" s="22">
        <f>RoundOff!E13</f>
        <v>13.18</v>
      </c>
      <c r="G18" s="22">
        <f>RoundOff!F13</f>
        <v>7.38</v>
      </c>
      <c r="H18" s="22">
        <f>RoundOff!G13</f>
        <v>736.2</v>
      </c>
      <c r="I18" s="22">
        <f>RoundOff!H13</f>
        <v>12.85</v>
      </c>
      <c r="J18" s="22">
        <f>RoundOff!I13</f>
        <v>65.319999999999993</v>
      </c>
    </row>
    <row r="19" spans="1:10" x14ac:dyDescent="0.2">
      <c r="A19" s="31">
        <v>13</v>
      </c>
      <c r="B19" s="31">
        <v>70</v>
      </c>
      <c r="C19" s="9" t="s">
        <v>20</v>
      </c>
      <c r="D19" s="9">
        <f>RoundOff!C14</f>
        <v>7.5</v>
      </c>
      <c r="E19" s="9">
        <f>RoundOff!D14</f>
        <v>6.15</v>
      </c>
      <c r="F19" s="9">
        <f>RoundOff!E14</f>
        <v>9.89</v>
      </c>
      <c r="G19" s="9">
        <f>RoundOff!F14</f>
        <v>5.54</v>
      </c>
      <c r="H19" s="9">
        <f>RoundOff!G14</f>
        <v>552.15</v>
      </c>
      <c r="I19" s="9">
        <f>RoundOff!H14</f>
        <v>9.6300000000000008</v>
      </c>
      <c r="J19" s="9">
        <f>RoundOff!I14</f>
        <v>48.99</v>
      </c>
    </row>
    <row r="20" spans="1:10" x14ac:dyDescent="0.2">
      <c r="A20" s="32">
        <v>14</v>
      </c>
      <c r="B20" s="32">
        <v>70</v>
      </c>
      <c r="C20" s="22" t="s">
        <v>21</v>
      </c>
      <c r="D20" s="22">
        <f>RoundOff!C15</f>
        <v>7.5</v>
      </c>
      <c r="E20" s="22">
        <f>RoundOff!D15</f>
        <v>6.15</v>
      </c>
      <c r="F20" s="22">
        <f>RoundOff!E15</f>
        <v>9.89</v>
      </c>
      <c r="G20" s="22">
        <f>RoundOff!F15</f>
        <v>5.54</v>
      </c>
      <c r="H20" s="22">
        <f>RoundOff!G15</f>
        <v>552.15</v>
      </c>
      <c r="I20" s="22">
        <f>RoundOff!H15</f>
        <v>9.6300000000000008</v>
      </c>
      <c r="J20" s="22">
        <f>RoundOff!I15</f>
        <v>48.99</v>
      </c>
    </row>
    <row r="21" spans="1:10" x14ac:dyDescent="0.2">
      <c r="A21" s="31">
        <v>15</v>
      </c>
      <c r="B21" s="31">
        <v>70</v>
      </c>
      <c r="C21" s="9" t="s">
        <v>22</v>
      </c>
      <c r="D21" s="9">
        <f>RoundOff!C16</f>
        <v>7.5</v>
      </c>
      <c r="E21" s="9">
        <f>RoundOff!D16</f>
        <v>6.15</v>
      </c>
      <c r="F21" s="9">
        <f>RoundOff!E16</f>
        <v>9.89</v>
      </c>
      <c r="G21" s="9">
        <f>RoundOff!F16</f>
        <v>5.54</v>
      </c>
      <c r="H21" s="9">
        <f>RoundOff!G16</f>
        <v>552.15</v>
      </c>
      <c r="I21" s="9">
        <f>RoundOff!H16</f>
        <v>9.6300000000000008</v>
      </c>
      <c r="J21" s="9">
        <f>RoundOff!I16</f>
        <v>48.99</v>
      </c>
    </row>
    <row r="22" spans="1:10" x14ac:dyDescent="0.2">
      <c r="A22" s="32">
        <v>16</v>
      </c>
      <c r="B22" s="32">
        <v>70</v>
      </c>
      <c r="C22" s="22" t="s">
        <v>23</v>
      </c>
      <c r="D22" s="22">
        <f>RoundOff!C17</f>
        <v>7.5</v>
      </c>
      <c r="E22" s="22">
        <f>RoundOff!D17</f>
        <v>6.15</v>
      </c>
      <c r="F22" s="22">
        <f>RoundOff!E17</f>
        <v>9.89</v>
      </c>
      <c r="G22" s="22">
        <f>RoundOff!F17</f>
        <v>5.54</v>
      </c>
      <c r="H22" s="22">
        <f>RoundOff!G17</f>
        <v>552.15</v>
      </c>
      <c r="I22" s="22">
        <f>RoundOff!H17</f>
        <v>9.6300000000000008</v>
      </c>
      <c r="J22" s="22">
        <f>RoundOff!I17</f>
        <v>48.99</v>
      </c>
    </row>
    <row r="23" spans="1:10" x14ac:dyDescent="0.2">
      <c r="A23" s="8"/>
      <c r="B23" s="9"/>
      <c r="C23" s="9"/>
      <c r="D23" s="10"/>
      <c r="E23" s="11"/>
      <c r="F23" s="11"/>
      <c r="G23" s="11"/>
      <c r="H23" s="11"/>
      <c r="I23" s="11"/>
      <c r="J23" s="11"/>
    </row>
    <row r="24" spans="1:10" x14ac:dyDescent="0.2">
      <c r="A24" s="21"/>
      <c r="B24" s="22"/>
      <c r="C24" s="22"/>
      <c r="D24" s="23"/>
      <c r="E24" s="24"/>
      <c r="F24" s="24"/>
      <c r="G24" s="24"/>
      <c r="H24" s="24"/>
      <c r="I24" s="24"/>
      <c r="J24" s="24"/>
    </row>
    <row r="25" spans="1:10" x14ac:dyDescent="0.2">
      <c r="A25" s="8"/>
      <c r="B25" s="9"/>
      <c r="C25" s="9"/>
      <c r="D25" s="10"/>
      <c r="E25" s="11"/>
      <c r="F25" s="11"/>
      <c r="G25" s="11"/>
      <c r="H25" s="11"/>
      <c r="I25" s="11"/>
      <c r="J25" s="11"/>
    </row>
    <row r="26" spans="1:10" x14ac:dyDescent="0.2">
      <c r="A26" s="21"/>
      <c r="B26" s="22"/>
      <c r="C26" s="22"/>
      <c r="D26" s="23"/>
      <c r="E26" s="24"/>
      <c r="F26" s="24"/>
      <c r="G26" s="24"/>
      <c r="H26" s="24"/>
      <c r="I26" s="24"/>
      <c r="J26" s="24"/>
    </row>
    <row r="27" spans="1:10" x14ac:dyDescent="0.2">
      <c r="A27" s="8"/>
      <c r="B27" s="9"/>
      <c r="C27" s="9"/>
      <c r="D27" s="10"/>
      <c r="E27" s="11"/>
      <c r="F27" s="11"/>
      <c r="G27" s="11"/>
      <c r="H27" s="11"/>
      <c r="I27" s="11"/>
      <c r="J27" s="11"/>
    </row>
    <row r="28" spans="1:10" x14ac:dyDescent="0.2">
      <c r="A28" s="21"/>
      <c r="B28" s="22"/>
      <c r="C28" s="22"/>
      <c r="D28" s="23"/>
      <c r="E28" s="24"/>
      <c r="F28" s="24"/>
      <c r="G28" s="24"/>
      <c r="H28" s="24"/>
      <c r="I28" s="24"/>
      <c r="J28" s="24"/>
    </row>
    <row r="29" spans="1:10" x14ac:dyDescent="0.2">
      <c r="A29" s="8"/>
      <c r="B29" s="9"/>
      <c r="C29" s="9"/>
      <c r="D29" s="10"/>
      <c r="E29" s="11"/>
      <c r="F29" s="11"/>
      <c r="G29" s="11"/>
      <c r="H29" s="11"/>
      <c r="I29" s="11"/>
      <c r="J29" s="11"/>
    </row>
    <row r="30" spans="1:10" x14ac:dyDescent="0.2">
      <c r="A30" s="21"/>
      <c r="B30" s="22"/>
      <c r="C30" s="22"/>
      <c r="D30" s="23"/>
      <c r="E30" s="24"/>
      <c r="F30" s="24"/>
      <c r="G30" s="24"/>
      <c r="H30" s="24"/>
      <c r="I30" s="24"/>
      <c r="J30" s="24"/>
    </row>
    <row r="31" spans="1:10" x14ac:dyDescent="0.2">
      <c r="A31" s="8"/>
      <c r="B31" s="9"/>
      <c r="C31" s="9"/>
      <c r="D31" s="10"/>
      <c r="E31" s="11"/>
      <c r="F31" s="11"/>
      <c r="G31" s="11"/>
      <c r="H31" s="11"/>
      <c r="I31" s="11"/>
      <c r="J31" s="11"/>
    </row>
    <row r="32" spans="1:10" x14ac:dyDescent="0.2">
      <c r="A32" s="21"/>
      <c r="B32" s="22"/>
      <c r="C32" s="22"/>
      <c r="D32" s="23"/>
      <c r="E32" s="24"/>
      <c r="F32" s="24"/>
      <c r="G32" s="24"/>
      <c r="H32" s="24"/>
      <c r="I32" s="24"/>
      <c r="J32" s="24"/>
    </row>
    <row r="33" spans="1:10" x14ac:dyDescent="0.2">
      <c r="A33" s="8"/>
      <c r="B33" s="9"/>
      <c r="C33" s="9"/>
      <c r="D33" s="10"/>
      <c r="E33" s="11"/>
      <c r="F33" s="11"/>
      <c r="G33" s="11"/>
      <c r="H33" s="11"/>
      <c r="I33" s="11"/>
      <c r="J33" s="11"/>
    </row>
    <row r="34" spans="1:10" x14ac:dyDescent="0.2">
      <c r="A34" s="21"/>
      <c r="B34" s="22"/>
      <c r="C34" s="22"/>
      <c r="D34" s="23"/>
      <c r="E34" s="24"/>
      <c r="F34" s="24"/>
      <c r="G34" s="24"/>
      <c r="H34" s="24"/>
      <c r="I34" s="24"/>
      <c r="J34" s="24"/>
    </row>
    <row r="35" spans="1:10" x14ac:dyDescent="0.2">
      <c r="A35" s="8"/>
      <c r="B35" s="9"/>
      <c r="C35" s="9"/>
      <c r="D35" s="10"/>
      <c r="E35" s="11"/>
      <c r="F35" s="11"/>
      <c r="G35" s="11"/>
      <c r="H35" s="11"/>
      <c r="I35" s="11"/>
      <c r="J35" s="11"/>
    </row>
    <row r="36" spans="1:10" x14ac:dyDescent="0.2">
      <c r="A36" s="21"/>
      <c r="B36" s="22"/>
      <c r="C36" s="22"/>
      <c r="D36" s="23"/>
      <c r="E36" s="24"/>
      <c r="F36" s="24"/>
      <c r="G36" s="24"/>
      <c r="H36" s="24"/>
      <c r="I36" s="24"/>
      <c r="J36" s="24"/>
    </row>
    <row r="37" spans="1:10" x14ac:dyDescent="0.2">
      <c r="A37" s="8"/>
      <c r="B37" s="9"/>
      <c r="C37" s="9"/>
      <c r="D37" s="10"/>
      <c r="E37" s="11"/>
      <c r="F37" s="11"/>
      <c r="G37" s="11"/>
      <c r="H37" s="11"/>
      <c r="I37" s="11"/>
      <c r="J37" s="11"/>
    </row>
    <row r="38" spans="1:10" x14ac:dyDescent="0.2">
      <c r="A38" s="21"/>
      <c r="B38" s="22"/>
      <c r="C38" s="22"/>
      <c r="D38" s="23"/>
      <c r="E38" s="24"/>
      <c r="F38" s="24"/>
      <c r="G38" s="24"/>
      <c r="H38" s="24"/>
      <c r="I38" s="24"/>
      <c r="J38" s="24"/>
    </row>
    <row r="39" spans="1:10" x14ac:dyDescent="0.2">
      <c r="A39" s="8"/>
      <c r="B39" s="9"/>
      <c r="C39" s="9"/>
      <c r="D39" s="10"/>
      <c r="E39" s="11"/>
      <c r="F39" s="11"/>
      <c r="G39" s="11"/>
      <c r="H39" s="11"/>
      <c r="I39" s="11"/>
      <c r="J39" s="11"/>
    </row>
    <row r="40" spans="1:10" x14ac:dyDescent="0.2">
      <c r="A40" s="21"/>
      <c r="B40" s="22"/>
      <c r="C40" s="22"/>
      <c r="D40" s="23"/>
      <c r="E40" s="24"/>
      <c r="F40" s="24"/>
      <c r="G40" s="24"/>
      <c r="H40" s="24"/>
      <c r="I40" s="24"/>
      <c r="J40" s="24"/>
    </row>
    <row r="41" spans="1:10" x14ac:dyDescent="0.2">
      <c r="A41" s="8"/>
      <c r="B41" s="9"/>
      <c r="C41" s="9"/>
      <c r="D41" s="10"/>
      <c r="E41" s="11"/>
      <c r="F41" s="11"/>
      <c r="G41" s="11"/>
      <c r="H41" s="11"/>
      <c r="I41" s="11"/>
      <c r="J41" s="11"/>
    </row>
    <row r="42" spans="1:10" x14ac:dyDescent="0.2">
      <c r="A42" s="21"/>
      <c r="B42" s="22"/>
      <c r="C42" s="22"/>
      <c r="D42" s="23"/>
      <c r="E42" s="24"/>
      <c r="F42" s="24"/>
      <c r="G42" s="24"/>
      <c r="H42" s="24"/>
      <c r="I42" s="24"/>
      <c r="J42" s="24"/>
    </row>
    <row r="43" spans="1:10" x14ac:dyDescent="0.2">
      <c r="A43" s="8"/>
      <c r="B43" s="9"/>
      <c r="C43" s="9"/>
      <c r="D43" s="10"/>
      <c r="E43" s="11"/>
      <c r="F43" s="11"/>
      <c r="G43" s="11"/>
      <c r="H43" s="11"/>
      <c r="I43" s="11"/>
      <c r="J43" s="11"/>
    </row>
    <row r="44" spans="1:10" x14ac:dyDescent="0.2">
      <c r="A44" s="21"/>
      <c r="B44" s="22"/>
      <c r="C44" s="22"/>
      <c r="D44" s="23"/>
      <c r="E44" s="24"/>
      <c r="F44" s="24"/>
      <c r="G44" s="24"/>
      <c r="H44" s="24"/>
      <c r="I44" s="24"/>
      <c r="J44" s="24"/>
    </row>
    <row r="45" spans="1:10" x14ac:dyDescent="0.2">
      <c r="A45" s="8"/>
      <c r="B45" s="9"/>
      <c r="C45" s="9"/>
      <c r="D45" s="10"/>
      <c r="E45" s="11"/>
      <c r="F45" s="11"/>
      <c r="G45" s="11"/>
      <c r="H45" s="11"/>
      <c r="I45" s="11"/>
      <c r="J45" s="11"/>
    </row>
    <row r="46" spans="1:10" x14ac:dyDescent="0.2">
      <c r="A46" s="21"/>
      <c r="B46" s="22"/>
      <c r="C46" s="22"/>
      <c r="D46" s="23"/>
      <c r="E46" s="24"/>
      <c r="F46" s="24"/>
      <c r="G46" s="24"/>
      <c r="H46" s="24"/>
      <c r="I46" s="24"/>
      <c r="J46" s="24"/>
    </row>
    <row r="47" spans="1:10" x14ac:dyDescent="0.2">
      <c r="A47" s="8"/>
      <c r="B47" s="9"/>
      <c r="C47" s="9"/>
      <c r="D47" s="10"/>
      <c r="E47" s="11"/>
      <c r="F47" s="11"/>
      <c r="G47" s="11"/>
      <c r="H47" s="11"/>
      <c r="I47" s="11"/>
      <c r="J47" s="11"/>
    </row>
    <row r="48" spans="1:10" x14ac:dyDescent="0.2">
      <c r="A48" s="21"/>
      <c r="B48" s="22"/>
      <c r="C48" s="22"/>
      <c r="D48" s="23"/>
      <c r="E48" s="24"/>
      <c r="F48" s="24"/>
      <c r="G48" s="24"/>
      <c r="H48" s="24"/>
      <c r="I48" s="24"/>
      <c r="J48" s="24"/>
    </row>
    <row r="49" spans="1:10" x14ac:dyDescent="0.2">
      <c r="A49" s="8"/>
      <c r="B49" s="9"/>
      <c r="C49" s="9"/>
      <c r="D49" s="10"/>
      <c r="E49" s="11"/>
      <c r="F49" s="11"/>
      <c r="G49" s="11"/>
      <c r="H49" s="11"/>
      <c r="I49" s="11"/>
      <c r="J49" s="11"/>
    </row>
    <row r="50" spans="1:10" x14ac:dyDescent="0.2">
      <c r="A50" s="21"/>
      <c r="B50" s="22"/>
      <c r="C50" s="22"/>
      <c r="D50" s="23"/>
      <c r="E50" s="24"/>
      <c r="F50" s="24"/>
      <c r="G50" s="24"/>
      <c r="H50" s="24"/>
      <c r="I50" s="24"/>
      <c r="J50" s="24"/>
    </row>
    <row r="51" spans="1:10" x14ac:dyDescent="0.2">
      <c r="A51" s="8"/>
      <c r="B51" s="9"/>
      <c r="C51" s="9"/>
      <c r="D51" s="10"/>
      <c r="E51" s="11"/>
      <c r="F51" s="11"/>
      <c r="G51" s="11"/>
      <c r="H51" s="11"/>
      <c r="I51" s="11"/>
      <c r="J51" s="11"/>
    </row>
    <row r="52" spans="1:10" x14ac:dyDescent="0.2">
      <c r="A52" s="21"/>
      <c r="B52" s="22"/>
      <c r="C52" s="22"/>
      <c r="D52" s="23"/>
      <c r="E52" s="24"/>
      <c r="F52" s="24"/>
      <c r="G52" s="24"/>
      <c r="H52" s="24"/>
      <c r="I52" s="24"/>
      <c r="J52" s="24"/>
    </row>
    <row r="53" spans="1:10" x14ac:dyDescent="0.2">
      <c r="A53" s="8"/>
      <c r="B53" s="9"/>
      <c r="C53" s="9"/>
      <c r="D53" s="10"/>
      <c r="E53" s="11"/>
      <c r="F53" s="11"/>
      <c r="G53" s="11"/>
      <c r="H53" s="11"/>
      <c r="I53" s="11"/>
      <c r="J53" s="11"/>
    </row>
    <row r="54" spans="1:10" x14ac:dyDescent="0.2">
      <c r="A54" s="21"/>
      <c r="B54" s="22"/>
      <c r="C54" s="22"/>
      <c r="D54" s="23"/>
      <c r="E54" s="24"/>
      <c r="F54" s="24"/>
      <c r="G54" s="24"/>
      <c r="H54" s="24"/>
      <c r="I54" s="24"/>
      <c r="J54" s="24"/>
    </row>
    <row r="55" spans="1:10" x14ac:dyDescent="0.2">
      <c r="A55" s="8"/>
      <c r="B55" s="9"/>
      <c r="C55" s="9"/>
      <c r="D55" s="10"/>
      <c r="E55" s="11"/>
      <c r="F55" s="11"/>
      <c r="G55" s="11"/>
      <c r="H55" s="11"/>
      <c r="I55" s="11"/>
      <c r="J55" s="11"/>
    </row>
    <row r="56" spans="1:10" x14ac:dyDescent="0.2">
      <c r="A56" s="21"/>
      <c r="B56" s="22"/>
      <c r="C56" s="22"/>
      <c r="D56" s="23"/>
      <c r="E56" s="24"/>
      <c r="F56" s="24"/>
      <c r="G56" s="24"/>
      <c r="H56" s="24"/>
      <c r="I56" s="24"/>
      <c r="J56" s="24"/>
    </row>
    <row r="57" spans="1:10" x14ac:dyDescent="0.2">
      <c r="A57" s="8"/>
      <c r="B57" s="9"/>
      <c r="C57" s="9"/>
      <c r="D57" s="10"/>
      <c r="E57" s="11"/>
      <c r="F57" s="11"/>
      <c r="G57" s="11"/>
      <c r="H57" s="11"/>
      <c r="I57" s="11"/>
      <c r="J57" s="11"/>
    </row>
    <row r="58" spans="1:10" x14ac:dyDescent="0.2">
      <c r="A58" s="21"/>
      <c r="B58" s="22"/>
      <c r="C58" s="22"/>
      <c r="D58" s="23"/>
      <c r="E58" s="24"/>
      <c r="F58" s="24"/>
      <c r="G58" s="24"/>
      <c r="H58" s="24"/>
      <c r="I58" s="24"/>
      <c r="J58" s="24"/>
    </row>
    <row r="59" spans="1:10" x14ac:dyDescent="0.2">
      <c r="A59" s="8"/>
      <c r="B59" s="9"/>
      <c r="C59" s="9"/>
      <c r="D59" s="10"/>
      <c r="E59" s="11"/>
      <c r="F59" s="11"/>
      <c r="G59" s="11"/>
      <c r="H59" s="11"/>
      <c r="I59" s="11"/>
      <c r="J59" s="11"/>
    </row>
    <row r="60" spans="1:10" x14ac:dyDescent="0.2">
      <c r="A60" s="21"/>
      <c r="B60" s="22"/>
      <c r="C60" s="22"/>
      <c r="D60" s="23"/>
      <c r="E60" s="24"/>
      <c r="F60" s="24"/>
      <c r="G60" s="24"/>
      <c r="H60" s="24"/>
      <c r="I60" s="24"/>
      <c r="J60" s="24"/>
    </row>
    <row r="61" spans="1:10" x14ac:dyDescent="0.2">
      <c r="A61" s="12"/>
      <c r="B61" s="13"/>
      <c r="C61" s="13"/>
      <c r="D61" s="14"/>
      <c r="E61" s="15"/>
      <c r="F61" s="15"/>
      <c r="G61" s="15"/>
      <c r="H61" s="15"/>
      <c r="I61" s="15"/>
      <c r="J61" s="15"/>
    </row>
  </sheetData>
  <mergeCells count="3">
    <mergeCell ref="A1:J1"/>
    <mergeCell ref="A2:J2"/>
    <mergeCell ref="A3:J3"/>
  </mergeCells>
  <phoneticPr fontId="2" type="noConversion"/>
  <printOptions horizontalCentered="1"/>
  <pageMargins left="0.51" right="0.51" top="1" bottom="1" header="0.5" footer="0.5"/>
  <pageSetup scale="76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0"/>
  <sheetViews>
    <sheetView workbookViewId="0">
      <selection activeCell="B26" sqref="B26"/>
    </sheetView>
  </sheetViews>
  <sheetFormatPr defaultRowHeight="12.75" x14ac:dyDescent="0.2"/>
  <cols>
    <col min="1" max="1" width="35.7109375" bestFit="1" customWidth="1"/>
    <col min="2" max="2" width="5.7109375" bestFit="1" customWidth="1"/>
    <col min="3" max="3" width="14.140625" bestFit="1" customWidth="1"/>
  </cols>
  <sheetData>
    <row r="1" spans="1:3" x14ac:dyDescent="0.2">
      <c r="A1" s="26" t="s">
        <v>320</v>
      </c>
      <c r="B1" t="s">
        <v>321</v>
      </c>
      <c r="C1" t="s">
        <v>322</v>
      </c>
    </row>
    <row r="2" spans="1:3" x14ac:dyDescent="0.2">
      <c r="A2" t="s">
        <v>171</v>
      </c>
      <c r="B2" t="s">
        <v>24</v>
      </c>
      <c r="C2">
        <v>0.82044092999999996</v>
      </c>
    </row>
    <row r="3" spans="1:3" x14ac:dyDescent="0.2">
      <c r="A3" s="33" t="s">
        <v>172</v>
      </c>
      <c r="B3" s="33" t="s">
        <v>6</v>
      </c>
      <c r="C3" s="33">
        <v>0.73815889999999995</v>
      </c>
    </row>
    <row r="4" spans="1:3" x14ac:dyDescent="0.2">
      <c r="A4" t="s">
        <v>173</v>
      </c>
      <c r="B4" t="s">
        <v>5</v>
      </c>
      <c r="C4">
        <v>1.31814974</v>
      </c>
    </row>
    <row r="5" spans="1:3" x14ac:dyDescent="0.2">
      <c r="A5" t="s">
        <v>174</v>
      </c>
      <c r="B5" t="s">
        <v>25</v>
      </c>
      <c r="C5">
        <v>1.2845633599999999</v>
      </c>
    </row>
    <row r="6" spans="1:3" x14ac:dyDescent="0.2">
      <c r="A6" t="s">
        <v>175</v>
      </c>
      <c r="B6" t="s">
        <v>26</v>
      </c>
      <c r="C6">
        <v>103.64144705</v>
      </c>
    </row>
    <row r="7" spans="1:3" x14ac:dyDescent="0.2">
      <c r="A7" t="s">
        <v>176</v>
      </c>
      <c r="B7" t="s">
        <v>27</v>
      </c>
      <c r="C7">
        <v>0.88960620000000001</v>
      </c>
    </row>
    <row r="8" spans="1:3" x14ac:dyDescent="0.2">
      <c r="A8" t="s">
        <v>186</v>
      </c>
      <c r="B8" t="s">
        <v>37</v>
      </c>
      <c r="C8">
        <v>74.558467739999998</v>
      </c>
    </row>
    <row r="9" spans="1:3" x14ac:dyDescent="0.2">
      <c r="A9" t="s">
        <v>177</v>
      </c>
      <c r="B9" t="s">
        <v>28</v>
      </c>
      <c r="C9" s="27">
        <v>2321.4689265500001</v>
      </c>
    </row>
    <row r="10" spans="1:3" x14ac:dyDescent="0.2">
      <c r="A10" t="s">
        <v>178</v>
      </c>
      <c r="B10" t="s">
        <v>29</v>
      </c>
      <c r="C10">
        <v>6.5320907799999999</v>
      </c>
    </row>
    <row r="11" spans="1:3" x14ac:dyDescent="0.2">
      <c r="A11" t="s">
        <v>179</v>
      </c>
      <c r="B11" t="s">
        <v>30</v>
      </c>
      <c r="C11" s="27">
        <v>0.30389308999999998</v>
      </c>
    </row>
    <row r="12" spans="1:3" x14ac:dyDescent="0.2">
      <c r="A12" s="26" t="s">
        <v>180</v>
      </c>
      <c r="B12" t="s">
        <v>31</v>
      </c>
      <c r="C12">
        <v>296.79454985000001</v>
      </c>
    </row>
    <row r="13" spans="1:3" x14ac:dyDescent="0.2">
      <c r="A13" t="s">
        <v>181</v>
      </c>
      <c r="B13" t="s">
        <v>32</v>
      </c>
      <c r="C13">
        <v>380.59012797999998</v>
      </c>
    </row>
    <row r="14" spans="1:3" x14ac:dyDescent="0.2">
      <c r="A14" t="s">
        <v>182</v>
      </c>
      <c r="B14" t="s">
        <v>33</v>
      </c>
      <c r="C14">
        <v>507.00316194999999</v>
      </c>
    </row>
    <row r="15" spans="1:3" x14ac:dyDescent="0.2">
      <c r="A15" t="s">
        <v>183</v>
      </c>
      <c r="B15" t="s">
        <v>34</v>
      </c>
      <c r="C15" s="27">
        <v>42.230603680000002</v>
      </c>
    </row>
    <row r="16" spans="1:3" x14ac:dyDescent="0.2">
      <c r="A16" t="s">
        <v>184</v>
      </c>
      <c r="B16" t="s">
        <v>35</v>
      </c>
      <c r="C16">
        <v>209.47660586999999</v>
      </c>
    </row>
    <row r="17" spans="1:3" x14ac:dyDescent="0.2">
      <c r="A17" t="s">
        <v>185</v>
      </c>
      <c r="B17" t="s">
        <v>36</v>
      </c>
      <c r="C17" s="27">
        <v>991.97961372999998</v>
      </c>
    </row>
    <row r="18" spans="1:3" x14ac:dyDescent="0.2">
      <c r="A18" t="s">
        <v>195</v>
      </c>
      <c r="B18" t="s">
        <v>46</v>
      </c>
      <c r="C18">
        <v>2.2877203800000001</v>
      </c>
    </row>
    <row r="19" spans="1:3" x14ac:dyDescent="0.2">
      <c r="A19" t="s">
        <v>187</v>
      </c>
      <c r="B19" t="s">
        <v>38</v>
      </c>
      <c r="C19" s="27">
        <v>2857.8825347799998</v>
      </c>
    </row>
    <row r="20" spans="1:3" x14ac:dyDescent="0.2">
      <c r="A20" t="s">
        <v>188</v>
      </c>
      <c r="B20" t="s">
        <v>39</v>
      </c>
      <c r="C20">
        <v>1.41095149</v>
      </c>
    </row>
    <row r="21" spans="1:3" x14ac:dyDescent="0.2">
      <c r="A21" t="s">
        <v>189</v>
      </c>
      <c r="B21" t="s">
        <v>40</v>
      </c>
      <c r="C21" s="27">
        <v>6.1903187900000001</v>
      </c>
    </row>
    <row r="22" spans="1:3" x14ac:dyDescent="0.2">
      <c r="A22" t="s">
        <v>190</v>
      </c>
      <c r="B22" t="s">
        <v>41</v>
      </c>
      <c r="C22">
        <v>2.5850346100000001</v>
      </c>
    </row>
    <row r="23" spans="1:3" x14ac:dyDescent="0.2">
      <c r="A23" t="s">
        <v>191</v>
      </c>
      <c r="B23" t="s">
        <v>42</v>
      </c>
      <c r="C23" s="27">
        <v>17.248117570000002</v>
      </c>
    </row>
    <row r="24" spans="1:3" x14ac:dyDescent="0.2">
      <c r="A24" t="s">
        <v>192</v>
      </c>
      <c r="B24" t="s">
        <v>43</v>
      </c>
      <c r="C24">
        <v>34.849517919999997</v>
      </c>
    </row>
    <row r="25" spans="1:3" x14ac:dyDescent="0.2">
      <c r="A25" t="s">
        <v>193</v>
      </c>
      <c r="B25" t="s">
        <v>44</v>
      </c>
      <c r="C25" s="27">
        <v>14.60545024</v>
      </c>
    </row>
    <row r="26" spans="1:3" x14ac:dyDescent="0.2">
      <c r="A26" t="s">
        <v>194</v>
      </c>
      <c r="B26" t="s">
        <v>45</v>
      </c>
      <c r="C26" s="27">
        <v>1275.20689655</v>
      </c>
    </row>
    <row r="27" spans="1:3" x14ac:dyDescent="0.2">
      <c r="A27" t="s">
        <v>203</v>
      </c>
      <c r="B27" t="s">
        <v>54</v>
      </c>
      <c r="C27" s="27">
        <v>1.0016793500000001</v>
      </c>
    </row>
    <row r="28" spans="1:3" x14ac:dyDescent="0.2">
      <c r="A28" t="s">
        <v>196</v>
      </c>
      <c r="B28" t="s">
        <v>47</v>
      </c>
      <c r="C28" s="27">
        <v>3.7521000400000002</v>
      </c>
    </row>
    <row r="29" spans="1:3" x14ac:dyDescent="0.2">
      <c r="A29" t="s">
        <v>197</v>
      </c>
      <c r="B29" t="s">
        <v>48</v>
      </c>
      <c r="C29">
        <v>7.7523942799999999</v>
      </c>
    </row>
    <row r="30" spans="1:3" x14ac:dyDescent="0.2">
      <c r="A30" t="s">
        <v>198</v>
      </c>
      <c r="B30" t="s">
        <v>49</v>
      </c>
      <c r="C30" s="27">
        <v>3.64378329</v>
      </c>
    </row>
    <row r="31" spans="1:3" x14ac:dyDescent="0.2">
      <c r="A31" t="s">
        <v>199</v>
      </c>
      <c r="B31" t="s">
        <v>50</v>
      </c>
      <c r="C31" s="27">
        <v>10392.429920410001</v>
      </c>
    </row>
    <row r="32" spans="1:3" x14ac:dyDescent="0.2">
      <c r="A32" t="s">
        <v>200</v>
      </c>
      <c r="B32" t="s">
        <v>51</v>
      </c>
      <c r="C32">
        <v>1.0016793500000001</v>
      </c>
    </row>
    <row r="33" spans="1:3" x14ac:dyDescent="0.2">
      <c r="A33" t="s">
        <v>201</v>
      </c>
      <c r="B33" t="s">
        <v>52</v>
      </c>
      <c r="C33" s="27">
        <v>2.7149988999999999</v>
      </c>
    </row>
    <row r="34" spans="1:3" x14ac:dyDescent="0.2">
      <c r="A34" t="s">
        <v>202</v>
      </c>
      <c r="B34" t="s">
        <v>53</v>
      </c>
      <c r="C34" s="27">
        <v>9315.1133501299992</v>
      </c>
    </row>
    <row r="35" spans="1:3" x14ac:dyDescent="0.2">
      <c r="A35" t="s">
        <v>210</v>
      </c>
      <c r="B35" t="s">
        <v>61</v>
      </c>
      <c r="C35">
        <v>660.375</v>
      </c>
    </row>
    <row r="36" spans="1:3" x14ac:dyDescent="0.2">
      <c r="A36" t="s">
        <v>211</v>
      </c>
      <c r="B36" t="s">
        <v>62</v>
      </c>
      <c r="C36" s="27">
        <v>4041.6393442600001</v>
      </c>
    </row>
    <row r="37" spans="1:3" x14ac:dyDescent="0.2">
      <c r="A37" t="s">
        <v>204</v>
      </c>
      <c r="B37" t="s">
        <v>55</v>
      </c>
      <c r="C37">
        <v>14.61588759</v>
      </c>
    </row>
    <row r="38" spans="1:3" x14ac:dyDescent="0.2">
      <c r="A38" t="s">
        <v>205</v>
      </c>
      <c r="B38" t="s">
        <v>56</v>
      </c>
      <c r="C38" s="27">
        <v>19.948442629999999</v>
      </c>
    </row>
    <row r="39" spans="1:3" x14ac:dyDescent="0.2">
      <c r="A39" t="s">
        <v>206</v>
      </c>
      <c r="B39" t="s">
        <v>57</v>
      </c>
      <c r="C39" s="27">
        <v>1.33770857</v>
      </c>
    </row>
    <row r="40" spans="1:3" x14ac:dyDescent="0.2">
      <c r="A40" t="s">
        <v>207</v>
      </c>
      <c r="B40" t="s">
        <v>58</v>
      </c>
      <c r="C40" s="27">
        <v>1209.4506202600001</v>
      </c>
    </row>
    <row r="41" spans="1:3" x14ac:dyDescent="0.2">
      <c r="A41" t="s">
        <v>208</v>
      </c>
      <c r="B41" t="s">
        <v>59</v>
      </c>
      <c r="C41">
        <v>8.7653472400000005</v>
      </c>
    </row>
    <row r="42" spans="1:3" x14ac:dyDescent="0.2">
      <c r="A42" t="s">
        <v>209</v>
      </c>
      <c r="B42" t="s">
        <v>60</v>
      </c>
      <c r="C42" s="27">
        <v>1.8120835</v>
      </c>
    </row>
    <row r="43" spans="1:3" x14ac:dyDescent="0.2">
      <c r="A43" t="s">
        <v>219</v>
      </c>
      <c r="B43" t="s">
        <v>70</v>
      </c>
      <c r="C43" s="27">
        <v>24.297634689999999</v>
      </c>
    </row>
    <row r="44" spans="1:3" x14ac:dyDescent="0.2">
      <c r="A44" t="s">
        <v>220</v>
      </c>
      <c r="B44" t="s">
        <v>71</v>
      </c>
      <c r="C44">
        <v>118.16903659</v>
      </c>
    </row>
    <row r="45" spans="1:3" x14ac:dyDescent="0.2">
      <c r="A45" t="s">
        <v>212</v>
      </c>
      <c r="B45" t="s">
        <v>63</v>
      </c>
      <c r="C45" s="27">
        <v>21.606273860000002</v>
      </c>
    </row>
    <row r="46" spans="1:3" x14ac:dyDescent="0.2">
      <c r="A46" t="s">
        <v>213</v>
      </c>
      <c r="B46" t="s">
        <v>64</v>
      </c>
      <c r="C46">
        <v>30.144731310000001</v>
      </c>
    </row>
    <row r="47" spans="1:3" x14ac:dyDescent="0.2">
      <c r="A47" t="s">
        <v>214</v>
      </c>
      <c r="B47" t="s">
        <v>65</v>
      </c>
      <c r="C47">
        <v>539.08143803999997</v>
      </c>
    </row>
    <row r="48" spans="1:3" x14ac:dyDescent="0.2">
      <c r="A48" t="s">
        <v>215</v>
      </c>
      <c r="B48" t="s">
        <v>66</v>
      </c>
      <c r="C48" s="27">
        <v>15.712443970000001</v>
      </c>
    </row>
    <row r="49" spans="1:3" x14ac:dyDescent="0.2">
      <c r="A49" t="s">
        <v>216</v>
      </c>
      <c r="B49" t="s">
        <v>67</v>
      </c>
      <c r="C49" s="27">
        <v>97.475816499999993</v>
      </c>
    </row>
    <row r="50" spans="1:3" x14ac:dyDescent="0.2">
      <c r="A50" t="s">
        <v>217</v>
      </c>
      <c r="B50" t="s">
        <v>68</v>
      </c>
      <c r="C50">
        <v>21.57584597</v>
      </c>
    </row>
    <row r="51" spans="1:3" x14ac:dyDescent="0.2">
      <c r="A51" t="s">
        <v>218</v>
      </c>
      <c r="B51" t="s">
        <v>69</v>
      </c>
      <c r="C51">
        <v>178.24745745999999</v>
      </c>
    </row>
    <row r="52" spans="1:3" x14ac:dyDescent="0.2">
      <c r="A52" t="s">
        <v>229</v>
      </c>
      <c r="B52" t="s">
        <v>80</v>
      </c>
      <c r="C52">
        <v>14.61122086</v>
      </c>
    </row>
    <row r="53" spans="1:3" x14ac:dyDescent="0.2">
      <c r="A53" t="s">
        <v>221</v>
      </c>
      <c r="B53" t="s">
        <v>72</v>
      </c>
      <c r="C53" s="27">
        <v>579.18559123</v>
      </c>
    </row>
    <row r="54" spans="1:3" x14ac:dyDescent="0.2">
      <c r="A54" t="s">
        <v>222</v>
      </c>
      <c r="B54" t="s">
        <v>73</v>
      </c>
      <c r="C54" s="27">
        <v>1103.5246390299999</v>
      </c>
    </row>
    <row r="55" spans="1:3" x14ac:dyDescent="0.2">
      <c r="A55" t="s">
        <v>223</v>
      </c>
      <c r="B55" t="s">
        <v>74</v>
      </c>
      <c r="C55">
        <v>1.6040311300000001</v>
      </c>
    </row>
    <row r="56" spans="1:3" x14ac:dyDescent="0.2">
      <c r="A56" t="s">
        <v>224</v>
      </c>
      <c r="B56" t="s">
        <v>75</v>
      </c>
      <c r="C56" s="27">
        <v>3.5094550500000001</v>
      </c>
    </row>
    <row r="57" spans="1:3" x14ac:dyDescent="0.2">
      <c r="A57" t="s">
        <v>225</v>
      </c>
      <c r="B57" t="s">
        <v>76</v>
      </c>
      <c r="C57">
        <v>1.69900619</v>
      </c>
    </row>
    <row r="58" spans="1:3" x14ac:dyDescent="0.2">
      <c r="A58" t="s">
        <v>226</v>
      </c>
      <c r="B58" t="s">
        <v>77</v>
      </c>
      <c r="C58" s="27">
        <v>6788.7918975399998</v>
      </c>
    </row>
    <row r="59" spans="1:3" x14ac:dyDescent="0.2">
      <c r="A59" t="s">
        <v>227</v>
      </c>
      <c r="B59" t="s">
        <v>78</v>
      </c>
      <c r="C59" s="27">
        <v>2.0590757200000001</v>
      </c>
    </row>
    <row r="60" spans="1:3" x14ac:dyDescent="0.2">
      <c r="A60" t="s">
        <v>228</v>
      </c>
      <c r="B60" t="s">
        <v>79</v>
      </c>
      <c r="C60" s="27">
        <v>1973.3724653100001</v>
      </c>
    </row>
    <row r="61" spans="1:3" x14ac:dyDescent="0.2">
      <c r="A61" t="s">
        <v>238</v>
      </c>
      <c r="B61" t="s">
        <v>89</v>
      </c>
      <c r="C61" s="27">
        <v>36.220372179999998</v>
      </c>
    </row>
    <row r="62" spans="1:3" x14ac:dyDescent="0.2">
      <c r="A62" t="s">
        <v>230</v>
      </c>
      <c r="B62" t="s">
        <v>81</v>
      </c>
      <c r="C62">
        <v>2.5465500599999999</v>
      </c>
    </row>
    <row r="63" spans="1:3" x14ac:dyDescent="0.2">
      <c r="A63" t="s">
        <v>231</v>
      </c>
      <c r="B63" t="s">
        <v>82</v>
      </c>
      <c r="C63">
        <v>39.588897420000002</v>
      </c>
    </row>
    <row r="64" spans="1:3" x14ac:dyDescent="0.2">
      <c r="A64" t="s">
        <v>232</v>
      </c>
      <c r="B64" t="s">
        <v>83</v>
      </c>
      <c r="C64" s="27">
        <v>127.91188157000001</v>
      </c>
    </row>
    <row r="65" spans="1:3" x14ac:dyDescent="0.2">
      <c r="A65" t="s">
        <v>233</v>
      </c>
      <c r="B65" t="s">
        <v>84</v>
      </c>
      <c r="C65">
        <v>160.59553557000001</v>
      </c>
    </row>
    <row r="66" spans="1:3" x14ac:dyDescent="0.2">
      <c r="A66" t="s">
        <v>234</v>
      </c>
      <c r="B66" t="s">
        <v>85</v>
      </c>
      <c r="C66" s="27">
        <v>83.834416360000006</v>
      </c>
    </row>
    <row r="67" spans="1:3" x14ac:dyDescent="0.2">
      <c r="A67" t="s">
        <v>235</v>
      </c>
      <c r="B67" t="s">
        <v>86</v>
      </c>
      <c r="C67">
        <v>608.53389809999999</v>
      </c>
    </row>
    <row r="68" spans="1:3" x14ac:dyDescent="0.2">
      <c r="A68" t="s">
        <v>236</v>
      </c>
      <c r="B68" t="s">
        <v>87</v>
      </c>
      <c r="C68" s="27">
        <v>162.91189427</v>
      </c>
    </row>
    <row r="69" spans="1:3" x14ac:dyDescent="0.2">
      <c r="A69" t="s">
        <v>237</v>
      </c>
      <c r="B69" t="s">
        <v>88</v>
      </c>
      <c r="C69" s="27">
        <v>55.195522390000001</v>
      </c>
    </row>
    <row r="70" spans="1:3" x14ac:dyDescent="0.2">
      <c r="A70" t="s">
        <v>248</v>
      </c>
      <c r="B70" t="s">
        <v>99</v>
      </c>
      <c r="C70" s="27">
        <v>58.146226419999998</v>
      </c>
    </row>
    <row r="71" spans="1:3" x14ac:dyDescent="0.2">
      <c r="A71" t="s">
        <v>239</v>
      </c>
      <c r="B71" t="s">
        <v>90</v>
      </c>
      <c r="C71">
        <v>1.60243522</v>
      </c>
    </row>
    <row r="72" spans="1:3" x14ac:dyDescent="0.2">
      <c r="A72" t="s">
        <v>240</v>
      </c>
      <c r="B72" t="s">
        <v>91</v>
      </c>
      <c r="C72">
        <v>130.57382937</v>
      </c>
    </row>
    <row r="73" spans="1:3" x14ac:dyDescent="0.2">
      <c r="A73" t="s">
        <v>241</v>
      </c>
      <c r="B73" t="s">
        <v>92</v>
      </c>
      <c r="C73">
        <v>3.6931765200000002</v>
      </c>
    </row>
    <row r="74" spans="1:3" x14ac:dyDescent="0.2">
      <c r="A74" t="s">
        <v>242</v>
      </c>
      <c r="B74" t="s">
        <v>93</v>
      </c>
      <c r="C74">
        <v>5.2277530299999997</v>
      </c>
    </row>
    <row r="75" spans="1:3" x14ac:dyDescent="0.2">
      <c r="A75" t="s">
        <v>243</v>
      </c>
      <c r="B75" t="s">
        <v>94</v>
      </c>
      <c r="C75">
        <v>0.74197979999999997</v>
      </c>
    </row>
    <row r="76" spans="1:3" x14ac:dyDescent="0.2">
      <c r="A76" t="s">
        <v>244</v>
      </c>
      <c r="B76" t="s">
        <v>95</v>
      </c>
      <c r="C76">
        <v>3.48503528</v>
      </c>
    </row>
    <row r="77" spans="1:3" x14ac:dyDescent="0.2">
      <c r="A77" t="s">
        <v>245</v>
      </c>
      <c r="B77" t="s">
        <v>96</v>
      </c>
      <c r="C77" s="27">
        <v>3618.4931506799999</v>
      </c>
    </row>
    <row r="78" spans="1:3" x14ac:dyDescent="0.2">
      <c r="A78" t="s">
        <v>246</v>
      </c>
      <c r="B78" t="s">
        <v>97</v>
      </c>
      <c r="C78">
        <v>6.7992277999999997</v>
      </c>
    </row>
    <row r="79" spans="1:3" x14ac:dyDescent="0.2">
      <c r="A79" t="s">
        <v>247</v>
      </c>
      <c r="B79" t="s">
        <v>98</v>
      </c>
      <c r="C79" s="27">
        <v>1.79720076</v>
      </c>
    </row>
    <row r="80" spans="1:3" x14ac:dyDescent="0.2">
      <c r="A80" t="s">
        <v>256</v>
      </c>
      <c r="B80" t="s">
        <v>107</v>
      </c>
      <c r="C80" s="27">
        <v>21.180412369999999</v>
      </c>
    </row>
    <row r="81" spans="1:3" x14ac:dyDescent="0.2">
      <c r="A81" t="s">
        <v>257</v>
      </c>
      <c r="B81" t="s">
        <v>108</v>
      </c>
      <c r="C81">
        <v>250.59971539</v>
      </c>
    </row>
    <row r="82" spans="1:3" x14ac:dyDescent="0.2">
      <c r="A82" t="s">
        <v>249</v>
      </c>
      <c r="B82" t="s">
        <v>100</v>
      </c>
      <c r="C82">
        <v>1.3351823599999999</v>
      </c>
    </row>
    <row r="83" spans="1:3" x14ac:dyDescent="0.2">
      <c r="A83" t="s">
        <v>250</v>
      </c>
      <c r="B83" t="s">
        <v>101</v>
      </c>
      <c r="C83" s="27">
        <v>1.33021729</v>
      </c>
    </row>
    <row r="84" spans="1:3" x14ac:dyDescent="0.2">
      <c r="A84" t="s">
        <v>251</v>
      </c>
      <c r="B84" t="s">
        <v>102</v>
      </c>
      <c r="C84">
        <v>3.2169971500000001</v>
      </c>
    </row>
    <row r="85" spans="1:3" x14ac:dyDescent="0.2">
      <c r="A85" t="s">
        <v>252</v>
      </c>
      <c r="B85" t="s">
        <v>103</v>
      </c>
      <c r="C85">
        <v>2.7114611800000001</v>
      </c>
    </row>
    <row r="86" spans="1:3" x14ac:dyDescent="0.2">
      <c r="A86" t="s">
        <v>253</v>
      </c>
      <c r="B86" t="s">
        <v>104</v>
      </c>
      <c r="C86" s="27">
        <v>41812.628093810003</v>
      </c>
    </row>
    <row r="87" spans="1:3" x14ac:dyDescent="0.2">
      <c r="A87" t="s">
        <v>254</v>
      </c>
      <c r="B87" t="s">
        <v>105</v>
      </c>
      <c r="C87" s="27">
        <v>1062672.4137931</v>
      </c>
    </row>
    <row r="88" spans="1:3" x14ac:dyDescent="0.2">
      <c r="A88" t="s">
        <v>255</v>
      </c>
      <c r="B88" t="s">
        <v>106</v>
      </c>
      <c r="C88" s="27">
        <v>92.221945140000003</v>
      </c>
    </row>
    <row r="89" spans="1:3" x14ac:dyDescent="0.2">
      <c r="A89" t="s">
        <v>264</v>
      </c>
      <c r="B89" t="s">
        <v>115</v>
      </c>
      <c r="C89">
        <v>100.97752778</v>
      </c>
    </row>
    <row r="90" spans="1:3" x14ac:dyDescent="0.2">
      <c r="A90" t="s">
        <v>265</v>
      </c>
      <c r="B90" t="s">
        <v>116</v>
      </c>
      <c r="C90" s="27">
        <v>15.479698620000001</v>
      </c>
    </row>
    <row r="91" spans="1:3" x14ac:dyDescent="0.2">
      <c r="A91" t="s">
        <v>258</v>
      </c>
      <c r="B91" t="s">
        <v>109</v>
      </c>
      <c r="C91" s="27">
        <v>3451.5114133799998</v>
      </c>
    </row>
    <row r="92" spans="1:3" x14ac:dyDescent="0.2">
      <c r="A92" t="s">
        <v>259</v>
      </c>
      <c r="B92" t="s">
        <v>110</v>
      </c>
      <c r="C92" s="27">
        <v>538.85020028999998</v>
      </c>
    </row>
    <row r="93" spans="1:3" x14ac:dyDescent="0.2">
      <c r="A93" t="s">
        <v>260</v>
      </c>
      <c r="B93" t="s">
        <v>111</v>
      </c>
      <c r="C93" s="27">
        <v>0.38498876999999998</v>
      </c>
    </row>
    <row r="94" spans="1:3" x14ac:dyDescent="0.2">
      <c r="A94" t="s">
        <v>261</v>
      </c>
      <c r="B94" t="s">
        <v>112</v>
      </c>
      <c r="C94">
        <v>5.8241833099999996</v>
      </c>
    </row>
    <row r="95" spans="1:3" x14ac:dyDescent="0.2">
      <c r="A95" t="s">
        <v>262</v>
      </c>
      <c r="B95" t="s">
        <v>113</v>
      </c>
      <c r="C95" s="27">
        <v>50.622151039999999</v>
      </c>
    </row>
    <row r="96" spans="1:3" x14ac:dyDescent="0.2">
      <c r="A96" t="s">
        <v>263</v>
      </c>
      <c r="B96" t="s">
        <v>114</v>
      </c>
      <c r="C96">
        <v>98.020038170000007</v>
      </c>
    </row>
    <row r="97" spans="1:3" x14ac:dyDescent="0.2">
      <c r="A97" t="s">
        <v>273</v>
      </c>
      <c r="B97" t="s">
        <v>124</v>
      </c>
      <c r="C97">
        <v>14.60545024</v>
      </c>
    </row>
    <row r="98" spans="1:3" x14ac:dyDescent="0.2">
      <c r="A98" t="s">
        <v>274</v>
      </c>
      <c r="B98" t="s">
        <v>125</v>
      </c>
      <c r="C98">
        <v>108.88293487</v>
      </c>
    </row>
    <row r="99" spans="1:3" x14ac:dyDescent="0.2">
      <c r="A99" t="s">
        <v>266</v>
      </c>
      <c r="B99" t="s">
        <v>117</v>
      </c>
      <c r="C99">
        <v>73.620143589999998</v>
      </c>
    </row>
    <row r="100" spans="1:3" x14ac:dyDescent="0.2">
      <c r="A100" t="s">
        <v>267</v>
      </c>
      <c r="B100" t="s">
        <v>118</v>
      </c>
      <c r="C100" s="27">
        <v>2.0019629999999999</v>
      </c>
    </row>
    <row r="101" spans="1:3" x14ac:dyDescent="0.2">
      <c r="A101" t="s">
        <v>268</v>
      </c>
      <c r="B101" t="s">
        <v>119</v>
      </c>
      <c r="C101" s="27">
        <v>23084.611397770001</v>
      </c>
    </row>
    <row r="102" spans="1:3" x14ac:dyDescent="0.2">
      <c r="A102" t="s">
        <v>269</v>
      </c>
      <c r="B102" t="s">
        <v>120</v>
      </c>
      <c r="C102">
        <v>9.0220993600000003</v>
      </c>
    </row>
    <row r="103" spans="1:3" x14ac:dyDescent="0.2">
      <c r="A103" t="s">
        <v>270</v>
      </c>
      <c r="B103" t="s">
        <v>121</v>
      </c>
      <c r="C103" s="27">
        <v>83.322062489999993</v>
      </c>
    </row>
    <row r="104" spans="1:3" x14ac:dyDescent="0.2">
      <c r="A104" t="s">
        <v>271</v>
      </c>
      <c r="B104" t="s">
        <v>122</v>
      </c>
      <c r="C104" s="27">
        <v>2.0181728900000002</v>
      </c>
    </row>
    <row r="105" spans="1:3" x14ac:dyDescent="0.2">
      <c r="A105" t="s">
        <v>272</v>
      </c>
      <c r="B105" t="s">
        <v>123</v>
      </c>
      <c r="C105">
        <v>403.54648624999999</v>
      </c>
    </row>
    <row r="106" spans="1:3" x14ac:dyDescent="0.2">
      <c r="A106" t="s">
        <v>283</v>
      </c>
      <c r="B106" t="s">
        <v>134</v>
      </c>
      <c r="C106">
        <v>15.094285709999999</v>
      </c>
    </row>
    <row r="107" spans="1:3" x14ac:dyDescent="0.2">
      <c r="A107" t="s">
        <v>275</v>
      </c>
      <c r="B107" t="s">
        <v>126</v>
      </c>
      <c r="C107" s="27">
        <v>3654.2490118599999</v>
      </c>
    </row>
    <row r="108" spans="1:3" x14ac:dyDescent="0.2">
      <c r="A108" t="s">
        <v>276</v>
      </c>
      <c r="B108" t="s">
        <v>127</v>
      </c>
      <c r="C108" s="27">
        <v>4.0542147599999998</v>
      </c>
    </row>
    <row r="109" spans="1:3" x14ac:dyDescent="0.2">
      <c r="A109" t="s">
        <v>277</v>
      </c>
      <c r="B109" t="s">
        <v>128</v>
      </c>
      <c r="C109" s="27">
        <v>3.9974875000000001</v>
      </c>
    </row>
    <row r="110" spans="1:3" x14ac:dyDescent="0.2">
      <c r="A110" t="s">
        <v>278</v>
      </c>
      <c r="B110" t="s">
        <v>129</v>
      </c>
      <c r="C110">
        <v>3.61033347</v>
      </c>
    </row>
    <row r="111" spans="1:3" x14ac:dyDescent="0.2">
      <c r="A111" t="s">
        <v>279</v>
      </c>
      <c r="B111" t="s">
        <v>130</v>
      </c>
      <c r="C111">
        <v>420.27366882000001</v>
      </c>
    </row>
    <row r="112" spans="1:3" x14ac:dyDescent="0.2">
      <c r="A112" t="s">
        <v>280</v>
      </c>
      <c r="B112" t="s">
        <v>131</v>
      </c>
      <c r="C112">
        <v>6.87201415</v>
      </c>
    </row>
    <row r="113" spans="1:3" x14ac:dyDescent="0.2">
      <c r="A113" t="s">
        <v>281</v>
      </c>
      <c r="B113" t="s">
        <v>132</v>
      </c>
      <c r="C113" s="27">
        <v>142.78378377999999</v>
      </c>
    </row>
    <row r="114" spans="1:3" x14ac:dyDescent="0.2">
      <c r="A114" t="s">
        <v>282</v>
      </c>
      <c r="B114" t="s">
        <v>133</v>
      </c>
      <c r="C114" s="27">
        <v>175.87387644</v>
      </c>
    </row>
    <row r="115" spans="1:3" x14ac:dyDescent="0.2">
      <c r="A115" t="s">
        <v>292</v>
      </c>
      <c r="B115" t="s">
        <v>143</v>
      </c>
      <c r="C115" s="27">
        <v>8.0010817799999998</v>
      </c>
    </row>
    <row r="116" spans="1:3" x14ac:dyDescent="0.2">
      <c r="A116" t="s">
        <v>284</v>
      </c>
      <c r="B116" t="s">
        <v>135</v>
      </c>
      <c r="C116">
        <v>109.13356548</v>
      </c>
    </row>
    <row r="117" spans="1:3" x14ac:dyDescent="0.2">
      <c r="A117" t="s">
        <v>285</v>
      </c>
      <c r="B117" t="s">
        <v>136</v>
      </c>
      <c r="C117" s="27">
        <v>8.6510513600000003</v>
      </c>
    </row>
    <row r="118" spans="1:3" x14ac:dyDescent="0.2">
      <c r="A118" t="s">
        <v>286</v>
      </c>
      <c r="B118" t="s">
        <v>137</v>
      </c>
      <c r="C118" s="27">
        <v>7.5822863900000002</v>
      </c>
    </row>
    <row r="119" spans="1:3" x14ac:dyDescent="0.2">
      <c r="A119" t="s">
        <v>287</v>
      </c>
      <c r="B119" t="s">
        <v>138</v>
      </c>
      <c r="C119" s="27">
        <v>84.456533489999998</v>
      </c>
    </row>
    <row r="120" spans="1:3" x14ac:dyDescent="0.2">
      <c r="A120" t="s">
        <v>288</v>
      </c>
      <c r="B120" t="s">
        <v>139</v>
      </c>
      <c r="C120">
        <v>11.25885192</v>
      </c>
    </row>
    <row r="121" spans="1:3" x14ac:dyDescent="0.2">
      <c r="A121" t="s">
        <v>289</v>
      </c>
      <c r="B121" t="s">
        <v>140</v>
      </c>
      <c r="C121" s="27">
        <v>77.244908620000004</v>
      </c>
    </row>
    <row r="122" spans="1:3" x14ac:dyDescent="0.2">
      <c r="A122" t="s">
        <v>290</v>
      </c>
      <c r="B122" t="s">
        <v>141</v>
      </c>
      <c r="C122">
        <v>14.16896552</v>
      </c>
    </row>
    <row r="123" spans="1:3" x14ac:dyDescent="0.2">
      <c r="A123" t="s">
        <v>291</v>
      </c>
      <c r="B123" t="s">
        <v>142</v>
      </c>
      <c r="C123">
        <v>71.807766990000005</v>
      </c>
    </row>
    <row r="124" spans="1:3" x14ac:dyDescent="0.2">
      <c r="A124" t="s">
        <v>301</v>
      </c>
      <c r="B124" t="s">
        <v>152</v>
      </c>
      <c r="C124" s="27">
        <v>7.8101372800000002</v>
      </c>
    </row>
    <row r="125" spans="1:3" x14ac:dyDescent="0.2">
      <c r="A125" t="s">
        <v>293</v>
      </c>
      <c r="B125" t="s">
        <v>144</v>
      </c>
      <c r="C125">
        <v>10.82166056</v>
      </c>
    </row>
    <row r="126" spans="1:3" x14ac:dyDescent="0.2">
      <c r="A126" t="s">
        <v>294</v>
      </c>
      <c r="B126" t="s">
        <v>145</v>
      </c>
      <c r="C126">
        <v>74.600287480000006</v>
      </c>
    </row>
    <row r="127" spans="1:3" x14ac:dyDescent="0.2">
      <c r="A127" t="s">
        <v>295</v>
      </c>
      <c r="B127" t="s">
        <v>146</v>
      </c>
      <c r="C127" s="27">
        <v>14217.22034532</v>
      </c>
    </row>
    <row r="128" spans="1:3" x14ac:dyDescent="0.2">
      <c r="A128" t="s">
        <v>296</v>
      </c>
      <c r="B128" t="s">
        <v>147</v>
      </c>
      <c r="C128" s="27">
        <v>0.37725083999999998</v>
      </c>
    </row>
    <row r="129" spans="1:3" x14ac:dyDescent="0.2">
      <c r="A129" t="s">
        <v>297</v>
      </c>
      <c r="B129" t="s">
        <v>148</v>
      </c>
      <c r="C129" s="27">
        <v>28.348981899999998</v>
      </c>
    </row>
    <row r="130" spans="1:3" x14ac:dyDescent="0.2">
      <c r="A130" t="s">
        <v>298</v>
      </c>
      <c r="B130" t="s">
        <v>149</v>
      </c>
      <c r="C130">
        <v>39.216330859999999</v>
      </c>
    </row>
    <row r="131" spans="1:3" x14ac:dyDescent="0.2">
      <c r="A131" t="s">
        <v>299</v>
      </c>
      <c r="B131" t="s">
        <v>150</v>
      </c>
      <c r="C131">
        <v>8.05861844</v>
      </c>
    </row>
    <row r="132" spans="1:3" x14ac:dyDescent="0.2">
      <c r="A132" t="s">
        <v>300</v>
      </c>
      <c r="B132" t="s">
        <v>151</v>
      </c>
      <c r="C132" s="27">
        <v>766.76342524999995</v>
      </c>
    </row>
    <row r="133" spans="1:3" x14ac:dyDescent="0.2">
      <c r="A133" t="s">
        <v>309</v>
      </c>
      <c r="B133" t="s">
        <v>160</v>
      </c>
      <c r="C133" s="27">
        <v>1332.1685878999999</v>
      </c>
    </row>
    <row r="134" spans="1:3" x14ac:dyDescent="0.2">
      <c r="A134" t="s">
        <v>310</v>
      </c>
      <c r="B134" t="s">
        <v>161</v>
      </c>
      <c r="C134" s="27">
        <v>190.18256621</v>
      </c>
    </row>
    <row r="135" spans="1:3" x14ac:dyDescent="0.2">
      <c r="A135" t="s">
        <v>302</v>
      </c>
      <c r="B135" t="s">
        <v>153</v>
      </c>
      <c r="C135" s="27">
        <v>726.45804315999999</v>
      </c>
    </row>
    <row r="136" spans="1:3" x14ac:dyDescent="0.2">
      <c r="A136" t="s">
        <v>303</v>
      </c>
      <c r="B136" t="s">
        <v>154</v>
      </c>
      <c r="C136" s="27">
        <v>8.2765902199999992</v>
      </c>
    </row>
    <row r="137" spans="1:3" x14ac:dyDescent="0.2">
      <c r="A137" t="s">
        <v>304</v>
      </c>
      <c r="B137" t="s">
        <v>155</v>
      </c>
      <c r="C137">
        <v>48.035982779999998</v>
      </c>
    </row>
    <row r="138" spans="1:3" x14ac:dyDescent="0.2">
      <c r="A138" t="s">
        <v>305</v>
      </c>
      <c r="B138" t="s">
        <v>156</v>
      </c>
      <c r="C138" s="27">
        <v>36.159586910000002</v>
      </c>
    </row>
    <row r="139" spans="1:3" x14ac:dyDescent="0.2">
      <c r="A139" t="s">
        <v>306</v>
      </c>
      <c r="B139" t="s">
        <v>157</v>
      </c>
      <c r="C139" s="27">
        <v>1502.05479225</v>
      </c>
    </row>
    <row r="140" spans="1:3" x14ac:dyDescent="0.2">
      <c r="A140" t="s">
        <v>307</v>
      </c>
      <c r="B140" t="s">
        <v>158</v>
      </c>
      <c r="C140">
        <v>52.233050849999998</v>
      </c>
    </row>
    <row r="141" spans="1:3" x14ac:dyDescent="0.2">
      <c r="A141" t="s">
        <v>308</v>
      </c>
      <c r="B141" t="s">
        <v>159</v>
      </c>
      <c r="C141" s="27">
        <v>1942.2794117599999</v>
      </c>
    </row>
    <row r="142" spans="1:3" x14ac:dyDescent="0.2">
      <c r="A142" t="s">
        <v>318</v>
      </c>
      <c r="B142" t="s">
        <v>169</v>
      </c>
      <c r="C142" s="27">
        <v>10104.09836066</v>
      </c>
    </row>
    <row r="143" spans="1:3" x14ac:dyDescent="0.2">
      <c r="A143" t="s">
        <v>319</v>
      </c>
      <c r="B143" t="s">
        <v>170</v>
      </c>
      <c r="C143" s="27">
        <v>21.22904707</v>
      </c>
    </row>
    <row r="144" spans="1:3" x14ac:dyDescent="0.2">
      <c r="A144" t="s">
        <v>311</v>
      </c>
      <c r="B144" t="s">
        <v>162</v>
      </c>
      <c r="C144" s="27">
        <v>6.1052922799999996</v>
      </c>
    </row>
    <row r="145" spans="1:3" x14ac:dyDescent="0.2">
      <c r="A145" t="s">
        <v>312</v>
      </c>
      <c r="B145" t="s">
        <v>163</v>
      </c>
      <c r="C145" s="27">
        <v>3.6653770899999998</v>
      </c>
    </row>
    <row r="146" spans="1:3" x14ac:dyDescent="0.2">
      <c r="A146" t="s">
        <v>313</v>
      </c>
      <c r="B146" t="s">
        <v>164</v>
      </c>
      <c r="C146" s="27">
        <v>28.220151399999999</v>
      </c>
    </row>
    <row r="147" spans="1:3" x14ac:dyDescent="0.2">
      <c r="A147" t="s">
        <v>314</v>
      </c>
      <c r="B147" t="s">
        <v>165</v>
      </c>
      <c r="C147" s="27">
        <v>0.70931573000000003</v>
      </c>
    </row>
    <row r="148" spans="1:3" x14ac:dyDescent="0.2">
      <c r="A148" t="s">
        <v>315</v>
      </c>
      <c r="B148" t="s">
        <v>166</v>
      </c>
      <c r="C148">
        <v>3.3006631299999998</v>
      </c>
    </row>
    <row r="149" spans="1:3" x14ac:dyDescent="0.2">
      <c r="A149" t="s">
        <v>316</v>
      </c>
      <c r="B149" t="s">
        <v>167</v>
      </c>
      <c r="C149">
        <v>1.0016793500000001</v>
      </c>
    </row>
    <row r="150" spans="1:3" x14ac:dyDescent="0.2">
      <c r="A150" t="s">
        <v>317</v>
      </c>
      <c r="B150" t="s">
        <v>168</v>
      </c>
      <c r="C150" s="27">
        <v>9994.8648648599992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0"/>
  <sheetViews>
    <sheetView workbookViewId="0">
      <selection activeCell="C38" sqref="C38"/>
    </sheetView>
  </sheetViews>
  <sheetFormatPr defaultRowHeight="12.75" x14ac:dyDescent="0.2"/>
  <sheetData>
    <row r="1" spans="1:1" x14ac:dyDescent="0.2">
      <c r="A1" s="26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 s="26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 s="26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 s="26">
        <v>10</v>
      </c>
    </row>
    <row r="11" spans="1:1" x14ac:dyDescent="0.2">
      <c r="A11">
        <v>11</v>
      </c>
    </row>
    <row r="12" spans="1:1" x14ac:dyDescent="0.2">
      <c r="A12">
        <v>12</v>
      </c>
    </row>
    <row r="13" spans="1:1" x14ac:dyDescent="0.2">
      <c r="A13" s="26">
        <v>13</v>
      </c>
    </row>
    <row r="14" spans="1:1" x14ac:dyDescent="0.2">
      <c r="A14">
        <v>14</v>
      </c>
    </row>
    <row r="15" spans="1:1" x14ac:dyDescent="0.2">
      <c r="A15">
        <v>15</v>
      </c>
    </row>
    <row r="16" spans="1:1" x14ac:dyDescent="0.2">
      <c r="A16" s="26">
        <v>16</v>
      </c>
    </row>
    <row r="17" spans="1:9" x14ac:dyDescent="0.2">
      <c r="A17">
        <v>17</v>
      </c>
    </row>
    <row r="18" spans="1:9" x14ac:dyDescent="0.2">
      <c r="A18">
        <v>18</v>
      </c>
    </row>
    <row r="19" spans="1:9" x14ac:dyDescent="0.2">
      <c r="A19" s="26">
        <v>19</v>
      </c>
    </row>
    <row r="20" spans="1:9" x14ac:dyDescent="0.2">
      <c r="A20">
        <v>20</v>
      </c>
      <c r="E20" s="26"/>
      <c r="F20" s="26"/>
      <c r="G20" s="26"/>
      <c r="H20" s="26"/>
      <c r="I20" s="26"/>
    </row>
    <row r="21" spans="1:9" x14ac:dyDescent="0.2">
      <c r="A21">
        <v>21</v>
      </c>
    </row>
    <row r="22" spans="1:9" x14ac:dyDescent="0.2">
      <c r="A22" s="26">
        <v>22</v>
      </c>
    </row>
    <row r="23" spans="1:9" x14ac:dyDescent="0.2">
      <c r="A23">
        <v>23</v>
      </c>
    </row>
    <row r="24" spans="1:9" x14ac:dyDescent="0.2">
      <c r="A24">
        <v>24</v>
      </c>
    </row>
    <row r="25" spans="1:9" x14ac:dyDescent="0.2">
      <c r="A25" s="26">
        <v>25</v>
      </c>
    </row>
    <row r="26" spans="1:9" x14ac:dyDescent="0.2">
      <c r="A26">
        <v>26</v>
      </c>
    </row>
    <row r="27" spans="1:9" x14ac:dyDescent="0.2">
      <c r="A27">
        <v>27</v>
      </c>
    </row>
    <row r="28" spans="1:9" x14ac:dyDescent="0.2">
      <c r="A28" s="26">
        <v>28</v>
      </c>
    </row>
    <row r="29" spans="1:9" x14ac:dyDescent="0.2">
      <c r="A29">
        <v>29</v>
      </c>
    </row>
    <row r="30" spans="1:9" x14ac:dyDescent="0.2">
      <c r="A30">
        <v>30</v>
      </c>
    </row>
    <row r="31" spans="1:9" x14ac:dyDescent="0.2">
      <c r="A31" s="26">
        <v>31</v>
      </c>
    </row>
    <row r="32" spans="1:9" x14ac:dyDescent="0.2">
      <c r="A32">
        <v>32</v>
      </c>
    </row>
    <row r="33" spans="1:1" x14ac:dyDescent="0.2">
      <c r="A33">
        <v>33</v>
      </c>
    </row>
    <row r="34" spans="1:1" x14ac:dyDescent="0.2">
      <c r="A34" s="26">
        <v>34</v>
      </c>
    </row>
    <row r="35" spans="1:1" x14ac:dyDescent="0.2">
      <c r="A35">
        <v>35</v>
      </c>
    </row>
    <row r="36" spans="1:1" x14ac:dyDescent="0.2">
      <c r="A36">
        <v>36</v>
      </c>
    </row>
    <row r="37" spans="1:1" x14ac:dyDescent="0.2">
      <c r="A37" s="26">
        <v>37</v>
      </c>
    </row>
    <row r="38" spans="1:1" x14ac:dyDescent="0.2">
      <c r="A38">
        <v>38</v>
      </c>
    </row>
    <row r="39" spans="1:1" x14ac:dyDescent="0.2">
      <c r="A39">
        <v>39</v>
      </c>
    </row>
    <row r="40" spans="1:1" x14ac:dyDescent="0.2">
      <c r="A40" s="26">
        <v>40</v>
      </c>
    </row>
    <row r="41" spans="1:1" x14ac:dyDescent="0.2">
      <c r="A41">
        <v>41</v>
      </c>
    </row>
    <row r="42" spans="1:1" x14ac:dyDescent="0.2">
      <c r="A42">
        <v>42</v>
      </c>
    </row>
    <row r="43" spans="1:1" x14ac:dyDescent="0.2">
      <c r="A43" s="26">
        <v>43</v>
      </c>
    </row>
    <row r="44" spans="1:1" x14ac:dyDescent="0.2">
      <c r="A44">
        <v>44</v>
      </c>
    </row>
    <row r="45" spans="1:1" x14ac:dyDescent="0.2">
      <c r="A45">
        <v>45</v>
      </c>
    </row>
    <row r="46" spans="1:1" x14ac:dyDescent="0.2">
      <c r="A46" s="26">
        <v>46</v>
      </c>
    </row>
    <row r="47" spans="1:1" x14ac:dyDescent="0.2">
      <c r="A47">
        <v>47</v>
      </c>
    </row>
    <row r="48" spans="1:1" x14ac:dyDescent="0.2">
      <c r="A48">
        <v>48</v>
      </c>
    </row>
    <row r="49" spans="1:1" x14ac:dyDescent="0.2">
      <c r="A49" s="26">
        <v>49</v>
      </c>
    </row>
    <row r="50" spans="1:1" x14ac:dyDescent="0.2">
      <c r="A50">
        <v>50</v>
      </c>
    </row>
    <row r="51" spans="1:1" x14ac:dyDescent="0.2">
      <c r="A51">
        <v>51</v>
      </c>
    </row>
    <row r="52" spans="1:1" x14ac:dyDescent="0.2">
      <c r="A52" s="26">
        <v>52</v>
      </c>
    </row>
    <row r="53" spans="1:1" x14ac:dyDescent="0.2">
      <c r="A53">
        <v>53</v>
      </c>
    </row>
    <row r="54" spans="1:1" x14ac:dyDescent="0.2">
      <c r="A54">
        <v>54</v>
      </c>
    </row>
    <row r="55" spans="1:1" x14ac:dyDescent="0.2">
      <c r="A55" s="26">
        <v>55</v>
      </c>
    </row>
    <row r="56" spans="1:1" x14ac:dyDescent="0.2">
      <c r="A56">
        <v>56</v>
      </c>
    </row>
    <row r="57" spans="1:1" x14ac:dyDescent="0.2">
      <c r="A57">
        <v>57</v>
      </c>
    </row>
    <row r="58" spans="1:1" x14ac:dyDescent="0.2">
      <c r="A58" s="26">
        <v>58</v>
      </c>
    </row>
    <row r="59" spans="1:1" x14ac:dyDescent="0.2">
      <c r="A59">
        <v>59</v>
      </c>
    </row>
    <row r="60" spans="1:1" x14ac:dyDescent="0.2">
      <c r="A60">
        <v>60</v>
      </c>
    </row>
    <row r="61" spans="1:1" x14ac:dyDescent="0.2">
      <c r="A61" s="26">
        <v>61</v>
      </c>
    </row>
    <row r="62" spans="1:1" x14ac:dyDescent="0.2">
      <c r="A62">
        <v>62</v>
      </c>
    </row>
    <row r="63" spans="1:1" x14ac:dyDescent="0.2">
      <c r="A63">
        <v>63</v>
      </c>
    </row>
    <row r="64" spans="1:1" x14ac:dyDescent="0.2">
      <c r="A64" s="26">
        <v>64</v>
      </c>
    </row>
    <row r="65" spans="1:1" x14ac:dyDescent="0.2">
      <c r="A65">
        <v>65</v>
      </c>
    </row>
    <row r="66" spans="1:1" x14ac:dyDescent="0.2">
      <c r="A66">
        <v>66</v>
      </c>
    </row>
    <row r="67" spans="1:1" x14ac:dyDescent="0.2">
      <c r="A67" s="26">
        <v>67</v>
      </c>
    </row>
    <row r="68" spans="1:1" x14ac:dyDescent="0.2">
      <c r="A68">
        <v>68</v>
      </c>
    </row>
    <row r="69" spans="1:1" x14ac:dyDescent="0.2">
      <c r="A69">
        <v>69</v>
      </c>
    </row>
    <row r="70" spans="1:1" x14ac:dyDescent="0.2">
      <c r="A70" s="26">
        <v>70</v>
      </c>
    </row>
    <row r="71" spans="1:1" x14ac:dyDescent="0.2">
      <c r="A71">
        <v>71</v>
      </c>
    </row>
    <row r="72" spans="1:1" x14ac:dyDescent="0.2">
      <c r="A72">
        <v>72</v>
      </c>
    </row>
    <row r="73" spans="1:1" x14ac:dyDescent="0.2">
      <c r="A73" s="26">
        <v>73</v>
      </c>
    </row>
    <row r="74" spans="1:1" x14ac:dyDescent="0.2">
      <c r="A74">
        <v>74</v>
      </c>
    </row>
    <row r="75" spans="1:1" x14ac:dyDescent="0.2">
      <c r="A75">
        <v>75</v>
      </c>
    </row>
    <row r="76" spans="1:1" x14ac:dyDescent="0.2">
      <c r="A76" s="26">
        <v>76</v>
      </c>
    </row>
    <row r="77" spans="1:1" x14ac:dyDescent="0.2">
      <c r="A77">
        <v>77</v>
      </c>
    </row>
    <row r="78" spans="1:1" x14ac:dyDescent="0.2">
      <c r="A78">
        <v>78</v>
      </c>
    </row>
    <row r="79" spans="1:1" x14ac:dyDescent="0.2">
      <c r="A79" s="26">
        <v>79</v>
      </c>
    </row>
    <row r="80" spans="1:1" x14ac:dyDescent="0.2">
      <c r="A80">
        <v>80</v>
      </c>
    </row>
    <row r="81" spans="1:1" x14ac:dyDescent="0.2">
      <c r="A81">
        <v>81</v>
      </c>
    </row>
    <row r="82" spans="1:1" x14ac:dyDescent="0.2">
      <c r="A82" s="26">
        <v>82</v>
      </c>
    </row>
    <row r="83" spans="1:1" x14ac:dyDescent="0.2">
      <c r="A83">
        <v>83</v>
      </c>
    </row>
    <row r="84" spans="1:1" x14ac:dyDescent="0.2">
      <c r="A84">
        <v>84</v>
      </c>
    </row>
    <row r="85" spans="1:1" x14ac:dyDescent="0.2">
      <c r="A85" s="26">
        <v>85</v>
      </c>
    </row>
    <row r="86" spans="1:1" x14ac:dyDescent="0.2">
      <c r="A86">
        <v>86</v>
      </c>
    </row>
    <row r="87" spans="1:1" x14ac:dyDescent="0.2">
      <c r="A87">
        <v>87</v>
      </c>
    </row>
    <row r="88" spans="1:1" x14ac:dyDescent="0.2">
      <c r="A88" s="26">
        <v>88</v>
      </c>
    </row>
    <row r="89" spans="1:1" x14ac:dyDescent="0.2">
      <c r="A89">
        <v>89</v>
      </c>
    </row>
    <row r="90" spans="1:1" x14ac:dyDescent="0.2">
      <c r="A90">
        <v>90</v>
      </c>
    </row>
    <row r="91" spans="1:1" x14ac:dyDescent="0.2">
      <c r="A91" s="26">
        <v>91</v>
      </c>
    </row>
    <row r="92" spans="1:1" x14ac:dyDescent="0.2">
      <c r="A92">
        <v>92</v>
      </c>
    </row>
    <row r="93" spans="1:1" x14ac:dyDescent="0.2">
      <c r="A93">
        <v>93</v>
      </c>
    </row>
    <row r="94" spans="1:1" x14ac:dyDescent="0.2">
      <c r="A94" s="26">
        <v>94</v>
      </c>
    </row>
    <row r="95" spans="1:1" x14ac:dyDescent="0.2">
      <c r="A95">
        <v>95</v>
      </c>
    </row>
    <row r="96" spans="1:1" x14ac:dyDescent="0.2">
      <c r="A96">
        <v>96</v>
      </c>
    </row>
    <row r="97" spans="1:1" x14ac:dyDescent="0.2">
      <c r="A97" s="26">
        <v>97</v>
      </c>
    </row>
    <row r="98" spans="1:1" x14ac:dyDescent="0.2">
      <c r="A98">
        <v>98</v>
      </c>
    </row>
    <row r="99" spans="1:1" x14ac:dyDescent="0.2">
      <c r="A99">
        <v>99</v>
      </c>
    </row>
    <row r="100" spans="1:1" x14ac:dyDescent="0.2">
      <c r="A100" s="26">
        <v>100</v>
      </c>
    </row>
    <row r="101" spans="1:1" x14ac:dyDescent="0.2">
      <c r="A101">
        <v>101</v>
      </c>
    </row>
    <row r="102" spans="1:1" x14ac:dyDescent="0.2">
      <c r="A102">
        <v>102</v>
      </c>
    </row>
    <row r="103" spans="1:1" x14ac:dyDescent="0.2">
      <c r="A103" s="26">
        <v>103</v>
      </c>
    </row>
    <row r="104" spans="1:1" x14ac:dyDescent="0.2">
      <c r="A104">
        <v>104</v>
      </c>
    </row>
    <row r="105" spans="1:1" x14ac:dyDescent="0.2">
      <c r="A105">
        <v>105</v>
      </c>
    </row>
    <row r="106" spans="1:1" x14ac:dyDescent="0.2">
      <c r="A106" s="26">
        <v>106</v>
      </c>
    </row>
    <row r="107" spans="1:1" x14ac:dyDescent="0.2">
      <c r="A107">
        <v>107</v>
      </c>
    </row>
    <row r="108" spans="1:1" x14ac:dyDescent="0.2">
      <c r="A108">
        <v>108</v>
      </c>
    </row>
    <row r="109" spans="1:1" x14ac:dyDescent="0.2">
      <c r="A109" s="26">
        <v>109</v>
      </c>
    </row>
    <row r="110" spans="1:1" x14ac:dyDescent="0.2">
      <c r="A110">
        <v>110</v>
      </c>
    </row>
    <row r="111" spans="1:1" x14ac:dyDescent="0.2">
      <c r="A111">
        <v>111</v>
      </c>
    </row>
    <row r="112" spans="1:1" x14ac:dyDescent="0.2">
      <c r="A112" s="26">
        <v>112</v>
      </c>
    </row>
    <row r="113" spans="1:1" x14ac:dyDescent="0.2">
      <c r="A113">
        <v>113</v>
      </c>
    </row>
    <row r="114" spans="1:1" x14ac:dyDescent="0.2">
      <c r="A114">
        <v>114</v>
      </c>
    </row>
    <row r="115" spans="1:1" x14ac:dyDescent="0.2">
      <c r="A115" s="26">
        <v>115</v>
      </c>
    </row>
    <row r="116" spans="1:1" x14ac:dyDescent="0.2">
      <c r="A116">
        <v>116</v>
      </c>
    </row>
    <row r="117" spans="1:1" x14ac:dyDescent="0.2">
      <c r="A117">
        <v>117</v>
      </c>
    </row>
    <row r="118" spans="1:1" x14ac:dyDescent="0.2">
      <c r="A118" s="26">
        <v>118</v>
      </c>
    </row>
    <row r="119" spans="1:1" x14ac:dyDescent="0.2">
      <c r="A119">
        <v>119</v>
      </c>
    </row>
    <row r="120" spans="1:1" x14ac:dyDescent="0.2">
      <c r="A120">
        <v>120</v>
      </c>
    </row>
    <row r="121" spans="1:1" x14ac:dyDescent="0.2">
      <c r="A121" s="26">
        <v>121</v>
      </c>
    </row>
    <row r="122" spans="1:1" x14ac:dyDescent="0.2">
      <c r="A122">
        <v>122</v>
      </c>
    </row>
    <row r="123" spans="1:1" x14ac:dyDescent="0.2">
      <c r="A123">
        <v>123</v>
      </c>
    </row>
    <row r="124" spans="1:1" x14ac:dyDescent="0.2">
      <c r="A124" s="26">
        <v>124</v>
      </c>
    </row>
    <row r="125" spans="1:1" x14ac:dyDescent="0.2">
      <c r="A125">
        <v>125</v>
      </c>
    </row>
    <row r="126" spans="1:1" x14ac:dyDescent="0.2">
      <c r="A126">
        <v>126</v>
      </c>
    </row>
    <row r="127" spans="1:1" x14ac:dyDescent="0.2">
      <c r="A127" s="26">
        <v>127</v>
      </c>
    </row>
    <row r="128" spans="1:1" x14ac:dyDescent="0.2">
      <c r="A128">
        <v>128</v>
      </c>
    </row>
    <row r="129" spans="1:1" x14ac:dyDescent="0.2">
      <c r="A129">
        <v>129</v>
      </c>
    </row>
    <row r="130" spans="1:1" x14ac:dyDescent="0.2">
      <c r="A130" s="26">
        <v>130</v>
      </c>
    </row>
    <row r="131" spans="1:1" x14ac:dyDescent="0.2">
      <c r="A131">
        <v>131</v>
      </c>
    </row>
    <row r="132" spans="1:1" x14ac:dyDescent="0.2">
      <c r="A132">
        <v>132</v>
      </c>
    </row>
    <row r="133" spans="1:1" x14ac:dyDescent="0.2">
      <c r="A133" s="26">
        <v>133</v>
      </c>
    </row>
    <row r="134" spans="1:1" x14ac:dyDescent="0.2">
      <c r="A134">
        <v>134</v>
      </c>
    </row>
    <row r="135" spans="1:1" x14ac:dyDescent="0.2">
      <c r="A135">
        <v>135</v>
      </c>
    </row>
    <row r="136" spans="1:1" x14ac:dyDescent="0.2">
      <c r="A136" s="26">
        <v>136</v>
      </c>
    </row>
    <row r="137" spans="1:1" x14ac:dyDescent="0.2">
      <c r="A137">
        <v>137</v>
      </c>
    </row>
    <row r="138" spans="1:1" x14ac:dyDescent="0.2">
      <c r="A138">
        <v>138</v>
      </c>
    </row>
    <row r="139" spans="1:1" x14ac:dyDescent="0.2">
      <c r="A139" s="26">
        <v>139</v>
      </c>
    </row>
    <row r="140" spans="1:1" x14ac:dyDescent="0.2">
      <c r="A140">
        <v>140</v>
      </c>
    </row>
    <row r="141" spans="1:1" x14ac:dyDescent="0.2">
      <c r="A141">
        <v>141</v>
      </c>
    </row>
    <row r="142" spans="1:1" x14ac:dyDescent="0.2">
      <c r="A142" s="26">
        <v>142</v>
      </c>
    </row>
    <row r="143" spans="1:1" x14ac:dyDescent="0.2">
      <c r="A143">
        <v>143</v>
      </c>
    </row>
    <row r="144" spans="1:1" x14ac:dyDescent="0.2">
      <c r="A144">
        <v>144</v>
      </c>
    </row>
    <row r="145" spans="1:1" x14ac:dyDescent="0.2">
      <c r="A145" s="26">
        <v>145</v>
      </c>
    </row>
    <row r="146" spans="1:1" x14ac:dyDescent="0.2">
      <c r="A146">
        <v>146</v>
      </c>
    </row>
    <row r="147" spans="1:1" x14ac:dyDescent="0.2">
      <c r="A147">
        <v>147</v>
      </c>
    </row>
    <row r="148" spans="1:1" x14ac:dyDescent="0.2">
      <c r="A148" s="26">
        <v>148</v>
      </c>
    </row>
    <row r="149" spans="1:1" x14ac:dyDescent="0.2">
      <c r="A149">
        <v>149</v>
      </c>
    </row>
    <row r="150" spans="1:1" x14ac:dyDescent="0.2">
      <c r="A150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50"/>
  <sheetViews>
    <sheetView workbookViewId="0"/>
  </sheetViews>
  <sheetFormatPr defaultRowHeight="12.75" x14ac:dyDescent="0.2"/>
  <cols>
    <col min="1" max="1" width="11.7109375" customWidth="1"/>
    <col min="2" max="2" width="35.7109375" bestFit="1" customWidth="1"/>
    <col min="3" max="3" width="5.7109375" bestFit="1" customWidth="1"/>
    <col min="4" max="4" width="14.140625" bestFit="1" customWidth="1"/>
  </cols>
  <sheetData>
    <row r="1" spans="1:12" ht="15" x14ac:dyDescent="0.2">
      <c r="A1" s="26">
        <v>1</v>
      </c>
      <c r="B1" s="26" t="s">
        <v>320</v>
      </c>
      <c r="C1" t="s">
        <v>321</v>
      </c>
      <c r="D1" t="s">
        <v>322</v>
      </c>
      <c r="H1" s="38" t="s">
        <v>337</v>
      </c>
      <c r="I1" s="38"/>
      <c r="J1" s="38"/>
      <c r="K1" s="38"/>
      <c r="L1" s="38"/>
    </row>
    <row r="2" spans="1:12" x14ac:dyDescent="0.2">
      <c r="A2">
        <v>2</v>
      </c>
      <c r="B2" t="s">
        <v>289</v>
      </c>
      <c r="C2" t="s">
        <v>140</v>
      </c>
      <c r="D2" s="27">
        <v>77.244908620000004</v>
      </c>
    </row>
    <row r="3" spans="1:12" x14ac:dyDescent="0.2">
      <c r="A3">
        <v>3</v>
      </c>
      <c r="B3" t="s">
        <v>264</v>
      </c>
      <c r="C3" t="s">
        <v>115</v>
      </c>
      <c r="D3">
        <v>100.97752778</v>
      </c>
    </row>
    <row r="4" spans="1:12" x14ac:dyDescent="0.2">
      <c r="A4" s="26">
        <v>4</v>
      </c>
      <c r="B4" t="s">
        <v>240</v>
      </c>
      <c r="C4" t="s">
        <v>91</v>
      </c>
      <c r="D4">
        <v>130.57382937</v>
      </c>
    </row>
    <row r="5" spans="1:12" x14ac:dyDescent="0.2">
      <c r="A5">
        <v>5</v>
      </c>
      <c r="B5" t="s">
        <v>210</v>
      </c>
      <c r="C5" t="s">
        <v>61</v>
      </c>
      <c r="D5">
        <v>660.375</v>
      </c>
    </row>
    <row r="6" spans="1:12" x14ac:dyDescent="0.2">
      <c r="A6">
        <v>6</v>
      </c>
      <c r="B6" t="s">
        <v>270</v>
      </c>
      <c r="C6" t="s">
        <v>121</v>
      </c>
      <c r="D6" s="27">
        <v>83.322062489999993</v>
      </c>
    </row>
    <row r="7" spans="1:12" x14ac:dyDescent="0.2">
      <c r="A7" s="26">
        <v>7</v>
      </c>
      <c r="B7" t="s">
        <v>182</v>
      </c>
      <c r="C7" t="s">
        <v>33</v>
      </c>
      <c r="D7">
        <v>507.00316194999999</v>
      </c>
    </row>
    <row r="8" spans="1:12" x14ac:dyDescent="0.2">
      <c r="A8">
        <v>8</v>
      </c>
      <c r="B8" t="s">
        <v>209</v>
      </c>
      <c r="C8" t="s">
        <v>60</v>
      </c>
      <c r="D8" s="27">
        <v>1.8120835</v>
      </c>
    </row>
    <row r="9" spans="1:12" x14ac:dyDescent="0.2">
      <c r="A9">
        <v>9</v>
      </c>
      <c r="B9" t="s">
        <v>173</v>
      </c>
      <c r="C9" t="s">
        <v>5</v>
      </c>
      <c r="D9">
        <v>1.31814974</v>
      </c>
    </row>
    <row r="10" spans="1:12" x14ac:dyDescent="0.2">
      <c r="A10" s="26">
        <v>10</v>
      </c>
      <c r="B10" t="s">
        <v>225</v>
      </c>
      <c r="C10" t="s">
        <v>76</v>
      </c>
      <c r="D10">
        <v>1.69900619</v>
      </c>
    </row>
    <row r="11" spans="1:12" x14ac:dyDescent="0.2">
      <c r="A11">
        <v>11</v>
      </c>
      <c r="B11" t="s">
        <v>316</v>
      </c>
      <c r="C11" t="s">
        <v>167</v>
      </c>
      <c r="D11">
        <v>1.0016793500000001</v>
      </c>
    </row>
    <row r="12" spans="1:12" x14ac:dyDescent="0.2">
      <c r="A12">
        <v>12</v>
      </c>
      <c r="B12" t="s">
        <v>296</v>
      </c>
      <c r="C12" t="s">
        <v>147</v>
      </c>
      <c r="D12" s="27">
        <v>0.37725083999999998</v>
      </c>
    </row>
    <row r="13" spans="1:12" x14ac:dyDescent="0.2">
      <c r="A13" s="26">
        <v>13</v>
      </c>
      <c r="B13" t="s">
        <v>287</v>
      </c>
      <c r="C13" t="s">
        <v>138</v>
      </c>
      <c r="D13" s="27">
        <v>84.456533489999998</v>
      </c>
    </row>
    <row r="14" spans="1:12" x14ac:dyDescent="0.2">
      <c r="A14">
        <v>14</v>
      </c>
      <c r="B14" t="s">
        <v>267</v>
      </c>
      <c r="C14" t="s">
        <v>118</v>
      </c>
      <c r="D14" s="27">
        <v>2.0019629999999999</v>
      </c>
    </row>
    <row r="15" spans="1:12" x14ac:dyDescent="0.2">
      <c r="A15">
        <v>15</v>
      </c>
      <c r="B15" t="s">
        <v>190</v>
      </c>
      <c r="C15" t="s">
        <v>41</v>
      </c>
      <c r="D15">
        <v>2.5850346100000001</v>
      </c>
    </row>
    <row r="16" spans="1:12" x14ac:dyDescent="0.2">
      <c r="A16" s="26">
        <v>16</v>
      </c>
      <c r="B16" t="s">
        <v>271</v>
      </c>
      <c r="C16" t="s">
        <v>122</v>
      </c>
      <c r="D16" s="27">
        <v>2.0181728900000002</v>
      </c>
    </row>
    <row r="17" spans="1:4" x14ac:dyDescent="0.2">
      <c r="A17">
        <v>17</v>
      </c>
      <c r="B17" t="s">
        <v>280</v>
      </c>
      <c r="C17" t="s">
        <v>131</v>
      </c>
      <c r="D17">
        <v>6.87201415</v>
      </c>
    </row>
    <row r="18" spans="1:4" x14ac:dyDescent="0.2">
      <c r="A18">
        <v>18</v>
      </c>
      <c r="B18" t="s">
        <v>239</v>
      </c>
      <c r="C18" t="s">
        <v>90</v>
      </c>
      <c r="D18">
        <v>1.60243522</v>
      </c>
    </row>
    <row r="19" spans="1:4" x14ac:dyDescent="0.2">
      <c r="A19" s="26">
        <v>19</v>
      </c>
      <c r="B19" t="s">
        <v>293</v>
      </c>
      <c r="C19" t="s">
        <v>144</v>
      </c>
      <c r="D19">
        <v>10.82166056</v>
      </c>
    </row>
    <row r="20" spans="1:4" x14ac:dyDescent="0.2">
      <c r="A20">
        <v>20</v>
      </c>
      <c r="B20" t="s">
        <v>242</v>
      </c>
      <c r="C20" t="s">
        <v>93</v>
      </c>
      <c r="D20">
        <v>5.2277530299999997</v>
      </c>
    </row>
    <row r="21" spans="1:4" x14ac:dyDescent="0.2">
      <c r="A21">
        <v>21</v>
      </c>
      <c r="B21" t="s">
        <v>249</v>
      </c>
      <c r="C21" t="s">
        <v>100</v>
      </c>
      <c r="D21">
        <v>1.3351823599999999</v>
      </c>
    </row>
    <row r="22" spans="1:4" x14ac:dyDescent="0.2">
      <c r="A22" s="26">
        <v>22</v>
      </c>
      <c r="B22" t="s">
        <v>223</v>
      </c>
      <c r="C22" t="s">
        <v>74</v>
      </c>
      <c r="D22">
        <v>1.6040311300000001</v>
      </c>
    </row>
    <row r="23" spans="1:4" x14ac:dyDescent="0.2">
      <c r="A23">
        <v>23</v>
      </c>
      <c r="B23" t="s">
        <v>308</v>
      </c>
      <c r="C23" t="s">
        <v>159</v>
      </c>
      <c r="D23" s="27">
        <v>1942.2794117599999</v>
      </c>
    </row>
    <row r="24" spans="1:4" x14ac:dyDescent="0.2">
      <c r="A24">
        <v>24</v>
      </c>
      <c r="B24" t="s">
        <v>211</v>
      </c>
      <c r="C24" t="s">
        <v>62</v>
      </c>
      <c r="D24" s="27">
        <v>4041.6393442600001</v>
      </c>
    </row>
    <row r="25" spans="1:4" x14ac:dyDescent="0.2">
      <c r="A25" s="26">
        <v>25</v>
      </c>
      <c r="B25" t="s">
        <v>174</v>
      </c>
      <c r="C25" t="s">
        <v>25</v>
      </c>
      <c r="D25">
        <v>1.2845633599999999</v>
      </c>
    </row>
    <row r="26" spans="1:4" x14ac:dyDescent="0.2">
      <c r="A26">
        <v>26</v>
      </c>
      <c r="B26" t="s">
        <v>255</v>
      </c>
      <c r="C26" t="s">
        <v>106</v>
      </c>
      <c r="D26" s="27">
        <v>92.221945140000003</v>
      </c>
    </row>
    <row r="27" spans="1:4" x14ac:dyDescent="0.2">
      <c r="A27">
        <v>27</v>
      </c>
      <c r="B27" t="s">
        <v>259</v>
      </c>
      <c r="C27" t="s">
        <v>110</v>
      </c>
      <c r="D27" s="27">
        <v>538.85020028999998</v>
      </c>
    </row>
    <row r="28" spans="1:4" x14ac:dyDescent="0.2">
      <c r="A28" s="26">
        <v>28</v>
      </c>
      <c r="B28" t="s">
        <v>263</v>
      </c>
      <c r="C28" t="s">
        <v>114</v>
      </c>
      <c r="D28">
        <v>98.020038170000007</v>
      </c>
    </row>
    <row r="29" spans="1:4" x14ac:dyDescent="0.2">
      <c r="A29">
        <v>29</v>
      </c>
      <c r="B29" t="s">
        <v>302</v>
      </c>
      <c r="C29" t="s">
        <v>153</v>
      </c>
      <c r="D29" s="27">
        <v>726.45804315999999</v>
      </c>
    </row>
    <row r="30" spans="1:4" x14ac:dyDescent="0.2">
      <c r="A30">
        <v>30</v>
      </c>
      <c r="B30" t="s">
        <v>178</v>
      </c>
      <c r="C30" t="s">
        <v>29</v>
      </c>
      <c r="D30">
        <v>6.5320907799999999</v>
      </c>
    </row>
    <row r="31" spans="1:4" x14ac:dyDescent="0.2">
      <c r="A31" s="26">
        <v>31</v>
      </c>
      <c r="B31" t="s">
        <v>258</v>
      </c>
      <c r="C31" t="s">
        <v>109</v>
      </c>
      <c r="D31" s="27">
        <v>3451.5114133799998</v>
      </c>
    </row>
    <row r="32" spans="1:4" x14ac:dyDescent="0.2">
      <c r="A32">
        <v>32</v>
      </c>
      <c r="B32" t="s">
        <v>272</v>
      </c>
      <c r="C32" t="s">
        <v>123</v>
      </c>
      <c r="D32">
        <v>403.54648624999999</v>
      </c>
    </row>
    <row r="33" spans="1:4" x14ac:dyDescent="0.2">
      <c r="A33">
        <v>33</v>
      </c>
      <c r="B33" t="s">
        <v>228</v>
      </c>
      <c r="C33" t="s">
        <v>79</v>
      </c>
      <c r="D33" s="27">
        <v>1973.3724653100001</v>
      </c>
    </row>
    <row r="34" spans="1:4" x14ac:dyDescent="0.2">
      <c r="A34" s="26">
        <v>34</v>
      </c>
      <c r="B34" t="s">
        <v>235</v>
      </c>
      <c r="C34" t="s">
        <v>86</v>
      </c>
      <c r="D34">
        <v>608.53389809999999</v>
      </c>
    </row>
    <row r="35" spans="1:4" x14ac:dyDescent="0.2">
      <c r="A35">
        <v>35</v>
      </c>
      <c r="B35" t="s">
        <v>189</v>
      </c>
      <c r="C35" t="s">
        <v>40</v>
      </c>
      <c r="D35" s="27">
        <v>6.1903187900000001</v>
      </c>
    </row>
    <row r="36" spans="1:4" x14ac:dyDescent="0.2">
      <c r="A36">
        <v>36</v>
      </c>
      <c r="B36" t="s">
        <v>203</v>
      </c>
      <c r="C36" t="s">
        <v>54</v>
      </c>
      <c r="D36" s="27">
        <v>1.0016793500000001</v>
      </c>
    </row>
    <row r="37" spans="1:4" x14ac:dyDescent="0.2">
      <c r="A37" s="26">
        <v>37</v>
      </c>
      <c r="B37" t="s">
        <v>212</v>
      </c>
      <c r="C37" t="s">
        <v>63</v>
      </c>
      <c r="D37" s="27">
        <v>21.606273860000002</v>
      </c>
    </row>
    <row r="38" spans="1:4" x14ac:dyDescent="0.2">
      <c r="A38">
        <v>38</v>
      </c>
      <c r="B38" t="s">
        <v>311</v>
      </c>
      <c r="C38" t="s">
        <v>162</v>
      </c>
      <c r="D38" s="27">
        <v>6.1052922799999996</v>
      </c>
    </row>
    <row r="39" spans="1:4" x14ac:dyDescent="0.2">
      <c r="A39">
        <v>39</v>
      </c>
      <c r="B39" t="s">
        <v>218</v>
      </c>
      <c r="C39" t="s">
        <v>69</v>
      </c>
      <c r="D39">
        <v>178.24745745999999</v>
      </c>
    </row>
    <row r="40" spans="1:4" x14ac:dyDescent="0.2">
      <c r="A40" s="26">
        <v>40</v>
      </c>
      <c r="B40" t="s">
        <v>248</v>
      </c>
      <c r="C40" t="s">
        <v>99</v>
      </c>
      <c r="D40" s="27">
        <v>58.146226419999998</v>
      </c>
    </row>
    <row r="41" spans="1:4" x14ac:dyDescent="0.2">
      <c r="A41">
        <v>41</v>
      </c>
      <c r="B41" t="s">
        <v>201</v>
      </c>
      <c r="C41" t="s">
        <v>52</v>
      </c>
      <c r="D41" s="27">
        <v>2.7149988999999999</v>
      </c>
    </row>
    <row r="42" spans="1:4" x14ac:dyDescent="0.2">
      <c r="A42">
        <v>42</v>
      </c>
      <c r="B42" t="s">
        <v>215</v>
      </c>
      <c r="C42" t="s">
        <v>66</v>
      </c>
      <c r="D42" s="27">
        <v>15.712443970000001</v>
      </c>
    </row>
    <row r="43" spans="1:4" x14ac:dyDescent="0.2">
      <c r="A43" s="26">
        <v>43</v>
      </c>
      <c r="B43" t="s">
        <v>283</v>
      </c>
      <c r="C43" t="s">
        <v>134</v>
      </c>
      <c r="D43">
        <v>15.094285709999999</v>
      </c>
    </row>
    <row r="44" spans="1:4" x14ac:dyDescent="0.2">
      <c r="A44">
        <v>44</v>
      </c>
      <c r="B44" t="s">
        <v>298</v>
      </c>
      <c r="C44" t="s">
        <v>149</v>
      </c>
      <c r="D44">
        <v>39.216330859999999</v>
      </c>
    </row>
    <row r="45" spans="1:4" x14ac:dyDescent="0.2">
      <c r="A45">
        <v>45</v>
      </c>
      <c r="B45" t="s">
        <v>171</v>
      </c>
      <c r="C45" t="s">
        <v>24</v>
      </c>
      <c r="D45">
        <v>0.82044092999999996</v>
      </c>
    </row>
    <row r="46" spans="1:4" x14ac:dyDescent="0.2">
      <c r="A46" s="26">
        <v>46</v>
      </c>
      <c r="B46" t="s">
        <v>227</v>
      </c>
      <c r="C46" t="s">
        <v>78</v>
      </c>
      <c r="D46" s="27">
        <v>2.0590757200000001</v>
      </c>
    </row>
    <row r="47" spans="1:4" x14ac:dyDescent="0.2">
      <c r="A47">
        <v>47</v>
      </c>
      <c r="B47" t="s">
        <v>307</v>
      </c>
      <c r="C47" t="s">
        <v>158</v>
      </c>
      <c r="D47">
        <v>52.233050849999998</v>
      </c>
    </row>
    <row r="48" spans="1:4" x14ac:dyDescent="0.2">
      <c r="A48">
        <v>48</v>
      </c>
      <c r="B48" t="s">
        <v>315</v>
      </c>
      <c r="C48" t="s">
        <v>166</v>
      </c>
      <c r="D48">
        <v>3.3006631299999998</v>
      </c>
    </row>
    <row r="49" spans="1:4" x14ac:dyDescent="0.2">
      <c r="A49" s="26">
        <v>49</v>
      </c>
      <c r="B49" t="s">
        <v>261</v>
      </c>
      <c r="C49" t="s">
        <v>112</v>
      </c>
      <c r="D49">
        <v>5.8241833099999996</v>
      </c>
    </row>
    <row r="50" spans="1:4" x14ac:dyDescent="0.2">
      <c r="A50">
        <v>50</v>
      </c>
      <c r="B50" t="s">
        <v>243</v>
      </c>
      <c r="C50" t="s">
        <v>94</v>
      </c>
      <c r="D50">
        <v>0.74197979999999997</v>
      </c>
    </row>
    <row r="51" spans="1:4" x14ac:dyDescent="0.2">
      <c r="A51">
        <v>51</v>
      </c>
      <c r="B51" t="s">
        <v>301</v>
      </c>
      <c r="C51" t="s">
        <v>152</v>
      </c>
      <c r="D51" s="27">
        <v>7.8101372800000002</v>
      </c>
    </row>
    <row r="52" spans="1:4" x14ac:dyDescent="0.2">
      <c r="A52" s="26">
        <v>52</v>
      </c>
      <c r="B52" t="s">
        <v>317</v>
      </c>
      <c r="C52" t="s">
        <v>168</v>
      </c>
      <c r="D52" s="27">
        <v>9994.8648648599992</v>
      </c>
    </row>
    <row r="53" spans="1:4" x14ac:dyDescent="0.2">
      <c r="A53">
        <v>53</v>
      </c>
      <c r="B53" t="s">
        <v>184</v>
      </c>
      <c r="C53" t="s">
        <v>35</v>
      </c>
      <c r="D53">
        <v>209.47660586999999</v>
      </c>
    </row>
    <row r="54" spans="1:4" x14ac:dyDescent="0.2">
      <c r="A54">
        <v>54</v>
      </c>
      <c r="B54" t="s">
        <v>291</v>
      </c>
      <c r="C54" t="s">
        <v>142</v>
      </c>
      <c r="D54">
        <v>71.807766990000005</v>
      </c>
    </row>
    <row r="55" spans="1:4" x14ac:dyDescent="0.2">
      <c r="A55" s="26">
        <v>55</v>
      </c>
      <c r="B55" t="s">
        <v>219</v>
      </c>
      <c r="C55" t="s">
        <v>70</v>
      </c>
      <c r="D55" s="27">
        <v>24.297634689999999</v>
      </c>
    </row>
    <row r="56" spans="1:4" x14ac:dyDescent="0.2">
      <c r="A56">
        <v>56</v>
      </c>
      <c r="B56" t="s">
        <v>197</v>
      </c>
      <c r="C56" t="s">
        <v>48</v>
      </c>
      <c r="D56">
        <v>7.7523942799999999</v>
      </c>
    </row>
    <row r="57" spans="1:4" x14ac:dyDescent="0.2">
      <c r="A57">
        <v>57</v>
      </c>
      <c r="B57" s="26" t="s">
        <v>180</v>
      </c>
      <c r="C57" t="s">
        <v>31</v>
      </c>
      <c r="D57">
        <v>296.79454985000001</v>
      </c>
    </row>
    <row r="58" spans="1:4" x14ac:dyDescent="0.2">
      <c r="A58" s="26">
        <v>58</v>
      </c>
      <c r="B58" t="s">
        <v>232</v>
      </c>
      <c r="C58" t="s">
        <v>83</v>
      </c>
      <c r="D58" s="27">
        <v>127.91188157000001</v>
      </c>
    </row>
    <row r="59" spans="1:4" x14ac:dyDescent="0.2">
      <c r="A59">
        <v>59</v>
      </c>
      <c r="B59" t="s">
        <v>266</v>
      </c>
      <c r="C59" t="s">
        <v>117</v>
      </c>
      <c r="D59">
        <v>73.620143589999998</v>
      </c>
    </row>
    <row r="60" spans="1:4" x14ac:dyDescent="0.2">
      <c r="A60">
        <v>60</v>
      </c>
      <c r="B60" t="s">
        <v>295</v>
      </c>
      <c r="C60" t="s">
        <v>146</v>
      </c>
      <c r="D60" s="27">
        <v>14217.22034532</v>
      </c>
    </row>
    <row r="61" spans="1:4" x14ac:dyDescent="0.2">
      <c r="A61" s="26">
        <v>61</v>
      </c>
      <c r="B61" t="s">
        <v>253</v>
      </c>
      <c r="C61" t="s">
        <v>104</v>
      </c>
      <c r="D61" s="27">
        <v>41812.628093810003</v>
      </c>
    </row>
    <row r="62" spans="1:4" x14ac:dyDescent="0.2">
      <c r="A62">
        <v>62</v>
      </c>
      <c r="B62" t="s">
        <v>207</v>
      </c>
      <c r="C62" t="s">
        <v>58</v>
      </c>
      <c r="D62" s="27">
        <v>1209.4506202600001</v>
      </c>
    </row>
    <row r="63" spans="1:4" x14ac:dyDescent="0.2">
      <c r="A63">
        <v>63</v>
      </c>
      <c r="B63" t="s">
        <v>251</v>
      </c>
      <c r="C63" t="s">
        <v>102</v>
      </c>
      <c r="D63">
        <v>3.2169971500000001</v>
      </c>
    </row>
    <row r="64" spans="1:4" x14ac:dyDescent="0.2">
      <c r="A64" s="26">
        <v>64</v>
      </c>
      <c r="B64" t="s">
        <v>281</v>
      </c>
      <c r="C64" t="s">
        <v>132</v>
      </c>
      <c r="D64" s="27">
        <v>142.78378377999999</v>
      </c>
    </row>
    <row r="65" spans="1:4" x14ac:dyDescent="0.2">
      <c r="A65">
        <v>65</v>
      </c>
      <c r="B65" t="s">
        <v>175</v>
      </c>
      <c r="C65" t="s">
        <v>26</v>
      </c>
      <c r="D65">
        <v>103.64144705</v>
      </c>
    </row>
    <row r="66" spans="1:4" x14ac:dyDescent="0.2">
      <c r="A66">
        <v>66</v>
      </c>
      <c r="B66" t="s">
        <v>314</v>
      </c>
      <c r="C66" t="s">
        <v>165</v>
      </c>
      <c r="D66" s="27">
        <v>0.70931573000000003</v>
      </c>
    </row>
    <row r="67" spans="1:4" x14ac:dyDescent="0.2">
      <c r="A67" s="26">
        <v>67</v>
      </c>
      <c r="B67" t="s">
        <v>279</v>
      </c>
      <c r="C67" t="s">
        <v>130</v>
      </c>
      <c r="D67">
        <v>420.27366882000001</v>
      </c>
    </row>
    <row r="68" spans="1:4" x14ac:dyDescent="0.2">
      <c r="A68">
        <v>68</v>
      </c>
      <c r="B68" t="s">
        <v>274</v>
      </c>
      <c r="C68" t="s">
        <v>125</v>
      </c>
      <c r="D68">
        <v>108.88293487</v>
      </c>
    </row>
    <row r="69" spans="1:4" x14ac:dyDescent="0.2">
      <c r="A69">
        <v>69</v>
      </c>
      <c r="B69" t="s">
        <v>179</v>
      </c>
      <c r="C69" t="s">
        <v>30</v>
      </c>
      <c r="D69" s="27">
        <v>0.30389308999999998</v>
      </c>
    </row>
    <row r="70" spans="1:4" x14ac:dyDescent="0.2">
      <c r="A70" s="26">
        <v>70</v>
      </c>
      <c r="B70" t="s">
        <v>234</v>
      </c>
      <c r="C70" t="s">
        <v>85</v>
      </c>
      <c r="D70" s="27">
        <v>83.834416360000006</v>
      </c>
    </row>
    <row r="71" spans="1:4" x14ac:dyDescent="0.2">
      <c r="A71">
        <v>71</v>
      </c>
      <c r="B71" t="s">
        <v>202</v>
      </c>
      <c r="C71" t="s">
        <v>53</v>
      </c>
      <c r="D71" s="27">
        <v>9315.1133501299992</v>
      </c>
    </row>
    <row r="72" spans="1:4" x14ac:dyDescent="0.2">
      <c r="A72">
        <v>72</v>
      </c>
      <c r="B72" t="s">
        <v>306</v>
      </c>
      <c r="C72" t="s">
        <v>157</v>
      </c>
      <c r="D72" s="27">
        <v>1502.05479225</v>
      </c>
    </row>
    <row r="73" spans="1:4" x14ac:dyDescent="0.2">
      <c r="A73" s="26">
        <v>73</v>
      </c>
      <c r="B73" t="s">
        <v>229</v>
      </c>
      <c r="C73" t="s">
        <v>80</v>
      </c>
      <c r="D73">
        <v>14.61122086</v>
      </c>
    </row>
    <row r="74" spans="1:4" x14ac:dyDescent="0.2">
      <c r="A74">
        <v>74</v>
      </c>
      <c r="B74" t="s">
        <v>236</v>
      </c>
      <c r="C74" t="s">
        <v>87</v>
      </c>
      <c r="D74" s="27">
        <v>162.91189427</v>
      </c>
    </row>
    <row r="75" spans="1:4" x14ac:dyDescent="0.2">
      <c r="A75">
        <v>75</v>
      </c>
      <c r="B75" t="s">
        <v>206</v>
      </c>
      <c r="C75" t="s">
        <v>57</v>
      </c>
      <c r="D75" s="27">
        <v>1.33770857</v>
      </c>
    </row>
    <row r="76" spans="1:4" x14ac:dyDescent="0.2">
      <c r="A76" s="26">
        <v>76</v>
      </c>
      <c r="B76" t="s">
        <v>292</v>
      </c>
      <c r="C76" t="s">
        <v>143</v>
      </c>
      <c r="D76" s="27">
        <v>8.0010817799999998</v>
      </c>
    </row>
    <row r="77" spans="1:4" x14ac:dyDescent="0.2">
      <c r="A77">
        <v>77</v>
      </c>
      <c r="B77" t="s">
        <v>262</v>
      </c>
      <c r="C77" t="s">
        <v>113</v>
      </c>
      <c r="D77" s="27">
        <v>50.622151039999999</v>
      </c>
    </row>
    <row r="78" spans="1:4" x14ac:dyDescent="0.2">
      <c r="A78">
        <v>78</v>
      </c>
      <c r="B78" t="s">
        <v>245</v>
      </c>
      <c r="C78" t="s">
        <v>96</v>
      </c>
      <c r="D78" s="27">
        <v>3618.4931506799999</v>
      </c>
    </row>
    <row r="79" spans="1:4" x14ac:dyDescent="0.2">
      <c r="A79" s="26">
        <v>79</v>
      </c>
      <c r="B79" t="s">
        <v>300</v>
      </c>
      <c r="C79" t="s">
        <v>151</v>
      </c>
      <c r="D79" s="27">
        <v>766.76342524999995</v>
      </c>
    </row>
    <row r="80" spans="1:4" x14ac:dyDescent="0.2">
      <c r="A80">
        <v>80</v>
      </c>
      <c r="B80" t="s">
        <v>276</v>
      </c>
      <c r="C80" t="s">
        <v>127</v>
      </c>
      <c r="D80" s="27">
        <v>4.0542147599999998</v>
      </c>
    </row>
    <row r="81" spans="1:4" x14ac:dyDescent="0.2">
      <c r="A81">
        <v>81</v>
      </c>
      <c r="B81" t="s">
        <v>265</v>
      </c>
      <c r="C81" t="s">
        <v>116</v>
      </c>
      <c r="D81" s="27">
        <v>15.479698620000001</v>
      </c>
    </row>
    <row r="82" spans="1:4" x14ac:dyDescent="0.2">
      <c r="A82" s="26">
        <v>82</v>
      </c>
      <c r="B82" t="s">
        <v>238</v>
      </c>
      <c r="C82" t="s">
        <v>89</v>
      </c>
      <c r="D82" s="27">
        <v>36.220372179999998</v>
      </c>
    </row>
    <row r="83" spans="1:4" x14ac:dyDescent="0.2">
      <c r="A83">
        <v>83</v>
      </c>
      <c r="B83" t="s">
        <v>305</v>
      </c>
      <c r="C83" t="s">
        <v>156</v>
      </c>
      <c r="D83" s="27">
        <v>36.159586910000002</v>
      </c>
    </row>
    <row r="84" spans="1:4" x14ac:dyDescent="0.2">
      <c r="A84">
        <v>84</v>
      </c>
      <c r="B84" t="s">
        <v>231</v>
      </c>
      <c r="C84" t="s">
        <v>82</v>
      </c>
      <c r="D84">
        <v>39.588897420000002</v>
      </c>
    </row>
    <row r="85" spans="1:4" x14ac:dyDescent="0.2">
      <c r="A85" s="26">
        <v>85</v>
      </c>
      <c r="B85" t="s">
        <v>205</v>
      </c>
      <c r="C85" t="s">
        <v>56</v>
      </c>
      <c r="D85" s="27">
        <v>19.948442629999999</v>
      </c>
    </row>
    <row r="86" spans="1:4" x14ac:dyDescent="0.2">
      <c r="A86">
        <v>86</v>
      </c>
      <c r="B86" t="s">
        <v>191</v>
      </c>
      <c r="C86" t="s">
        <v>42</v>
      </c>
      <c r="D86" s="27">
        <v>17.248117570000002</v>
      </c>
    </row>
    <row r="87" spans="1:4" x14ac:dyDescent="0.2">
      <c r="A87">
        <v>87</v>
      </c>
      <c r="B87" t="s">
        <v>187</v>
      </c>
      <c r="C87" t="s">
        <v>38</v>
      </c>
      <c r="D87" s="27">
        <v>2857.8825347799998</v>
      </c>
    </row>
    <row r="88" spans="1:4" x14ac:dyDescent="0.2">
      <c r="A88" s="26">
        <v>88</v>
      </c>
      <c r="B88" t="s">
        <v>269</v>
      </c>
      <c r="C88" t="s">
        <v>120</v>
      </c>
      <c r="D88">
        <v>9.0220993600000003</v>
      </c>
    </row>
    <row r="89" spans="1:4" x14ac:dyDescent="0.2">
      <c r="A89">
        <v>89</v>
      </c>
      <c r="B89" t="s">
        <v>186</v>
      </c>
      <c r="C89" t="s">
        <v>37</v>
      </c>
      <c r="D89">
        <v>74.558467739999998</v>
      </c>
    </row>
    <row r="90" spans="1:4" x14ac:dyDescent="0.2">
      <c r="A90">
        <v>90</v>
      </c>
      <c r="B90" t="s">
        <v>309</v>
      </c>
      <c r="C90" t="s">
        <v>160</v>
      </c>
      <c r="D90" s="27">
        <v>1332.1685878999999</v>
      </c>
    </row>
    <row r="91" spans="1:4" x14ac:dyDescent="0.2">
      <c r="A91" s="26">
        <v>91</v>
      </c>
      <c r="B91" t="s">
        <v>193</v>
      </c>
      <c r="C91" t="s">
        <v>44</v>
      </c>
      <c r="D91" s="27">
        <v>14.60545024</v>
      </c>
    </row>
    <row r="92" spans="1:4" x14ac:dyDescent="0.2">
      <c r="A92">
        <v>92</v>
      </c>
      <c r="B92" t="s">
        <v>220</v>
      </c>
      <c r="C92" t="s">
        <v>71</v>
      </c>
      <c r="D92">
        <v>118.16903659</v>
      </c>
    </row>
    <row r="93" spans="1:4" x14ac:dyDescent="0.2">
      <c r="A93">
        <v>93</v>
      </c>
      <c r="B93" t="s">
        <v>247</v>
      </c>
      <c r="C93" t="s">
        <v>98</v>
      </c>
      <c r="D93" s="27">
        <v>1.79720076</v>
      </c>
    </row>
    <row r="94" spans="1:4" x14ac:dyDescent="0.2">
      <c r="A94" s="26">
        <v>94</v>
      </c>
      <c r="B94" t="s">
        <v>313</v>
      </c>
      <c r="C94" t="s">
        <v>164</v>
      </c>
      <c r="D94" s="27">
        <v>28.220151399999999</v>
      </c>
    </row>
    <row r="95" spans="1:4" x14ac:dyDescent="0.2">
      <c r="A95">
        <v>95</v>
      </c>
      <c r="B95" t="s">
        <v>244</v>
      </c>
      <c r="C95" t="s">
        <v>95</v>
      </c>
      <c r="D95">
        <v>3.48503528</v>
      </c>
    </row>
    <row r="96" spans="1:4" x14ac:dyDescent="0.2">
      <c r="A96">
        <v>96</v>
      </c>
      <c r="B96" t="s">
        <v>188</v>
      </c>
      <c r="C96" t="s">
        <v>39</v>
      </c>
      <c r="D96">
        <v>1.41095149</v>
      </c>
    </row>
    <row r="97" spans="1:4" x14ac:dyDescent="0.2">
      <c r="A97" s="26">
        <v>97</v>
      </c>
      <c r="B97" t="s">
        <v>192</v>
      </c>
      <c r="C97" t="s">
        <v>43</v>
      </c>
      <c r="D97">
        <v>34.849517919999997</v>
      </c>
    </row>
    <row r="98" spans="1:4" x14ac:dyDescent="0.2">
      <c r="A98">
        <v>98</v>
      </c>
      <c r="B98" t="s">
        <v>181</v>
      </c>
      <c r="C98" t="s">
        <v>32</v>
      </c>
      <c r="D98">
        <v>380.59012797999998</v>
      </c>
    </row>
    <row r="99" spans="1:4" x14ac:dyDescent="0.2">
      <c r="A99">
        <v>99</v>
      </c>
      <c r="B99" t="s">
        <v>285</v>
      </c>
      <c r="C99" t="s">
        <v>136</v>
      </c>
      <c r="D99" s="27">
        <v>8.6510513600000003</v>
      </c>
    </row>
    <row r="100" spans="1:4" x14ac:dyDescent="0.2">
      <c r="A100" s="26">
        <v>100</v>
      </c>
      <c r="B100" t="s">
        <v>260</v>
      </c>
      <c r="C100" t="s">
        <v>111</v>
      </c>
      <c r="D100" s="27">
        <v>0.38498876999999998</v>
      </c>
    </row>
    <row r="101" spans="1:4" x14ac:dyDescent="0.2">
      <c r="A101">
        <v>101</v>
      </c>
      <c r="B101" t="s">
        <v>233</v>
      </c>
      <c r="C101" t="s">
        <v>84</v>
      </c>
      <c r="D101">
        <v>160.59553557000001</v>
      </c>
    </row>
    <row r="102" spans="1:4" x14ac:dyDescent="0.2">
      <c r="A102">
        <v>102</v>
      </c>
      <c r="B102" t="s">
        <v>200</v>
      </c>
      <c r="C102" t="s">
        <v>51</v>
      </c>
      <c r="D102">
        <v>1.0016793500000001</v>
      </c>
    </row>
    <row r="103" spans="1:4" x14ac:dyDescent="0.2">
      <c r="A103" s="26">
        <v>103</v>
      </c>
      <c r="B103" t="s">
        <v>224</v>
      </c>
      <c r="C103" t="s">
        <v>75</v>
      </c>
      <c r="D103" s="27">
        <v>3.5094550500000001</v>
      </c>
    </row>
    <row r="104" spans="1:4" x14ac:dyDescent="0.2">
      <c r="A104">
        <v>104</v>
      </c>
      <c r="B104" t="s">
        <v>226</v>
      </c>
      <c r="C104" t="s">
        <v>77</v>
      </c>
      <c r="D104" s="27">
        <v>6788.7918975399998</v>
      </c>
    </row>
    <row r="105" spans="1:4" x14ac:dyDescent="0.2">
      <c r="A105">
        <v>105</v>
      </c>
      <c r="B105" t="s">
        <v>278</v>
      </c>
      <c r="C105" t="s">
        <v>129</v>
      </c>
      <c r="D105">
        <v>3.61033347</v>
      </c>
    </row>
    <row r="106" spans="1:4" x14ac:dyDescent="0.2">
      <c r="A106" s="26">
        <v>106</v>
      </c>
      <c r="B106" t="s">
        <v>304</v>
      </c>
      <c r="C106" t="s">
        <v>155</v>
      </c>
      <c r="D106">
        <v>48.035982779999998</v>
      </c>
    </row>
    <row r="107" spans="1:4" x14ac:dyDescent="0.2">
      <c r="A107">
        <v>107</v>
      </c>
      <c r="B107" t="s">
        <v>241</v>
      </c>
      <c r="C107" t="s">
        <v>92</v>
      </c>
      <c r="D107">
        <v>3.6931765200000002</v>
      </c>
    </row>
    <row r="108" spans="1:4" x14ac:dyDescent="0.2">
      <c r="A108">
        <v>108</v>
      </c>
      <c r="B108" t="s">
        <v>198</v>
      </c>
      <c r="C108" t="s">
        <v>49</v>
      </c>
      <c r="D108" s="27">
        <v>3.64378329</v>
      </c>
    </row>
    <row r="109" spans="1:4" x14ac:dyDescent="0.2">
      <c r="A109" s="26">
        <v>109</v>
      </c>
      <c r="B109" t="s">
        <v>277</v>
      </c>
      <c r="C109" t="s">
        <v>128</v>
      </c>
      <c r="D109" s="27">
        <v>3.9974875000000001</v>
      </c>
    </row>
    <row r="110" spans="1:4" x14ac:dyDescent="0.2">
      <c r="A110">
        <v>110</v>
      </c>
      <c r="B110" t="s">
        <v>294</v>
      </c>
      <c r="C110" t="s">
        <v>145</v>
      </c>
      <c r="D110">
        <v>74.600287480000006</v>
      </c>
    </row>
    <row r="111" spans="1:4" x14ac:dyDescent="0.2">
      <c r="A111">
        <v>111</v>
      </c>
      <c r="B111" t="s">
        <v>185</v>
      </c>
      <c r="C111" t="s">
        <v>36</v>
      </c>
      <c r="D111" s="27">
        <v>991.97961372999998</v>
      </c>
    </row>
    <row r="112" spans="1:4" x14ac:dyDescent="0.2">
      <c r="A112" s="26">
        <v>112</v>
      </c>
      <c r="B112" t="s">
        <v>208</v>
      </c>
      <c r="C112" t="s">
        <v>59</v>
      </c>
      <c r="D112">
        <v>8.7653472400000005</v>
      </c>
    </row>
    <row r="113" spans="1:4" x14ac:dyDescent="0.2">
      <c r="A113">
        <v>113</v>
      </c>
      <c r="B113" t="s">
        <v>230</v>
      </c>
      <c r="C113" t="s">
        <v>81</v>
      </c>
      <c r="D113">
        <v>2.5465500599999999</v>
      </c>
    </row>
    <row r="114" spans="1:4" x14ac:dyDescent="0.2">
      <c r="A114">
        <v>114</v>
      </c>
      <c r="B114" t="s">
        <v>217</v>
      </c>
      <c r="C114" t="s">
        <v>68</v>
      </c>
      <c r="D114">
        <v>21.57584597</v>
      </c>
    </row>
    <row r="115" spans="1:4" x14ac:dyDescent="0.2">
      <c r="A115" s="26">
        <v>115</v>
      </c>
      <c r="B115" t="s">
        <v>196</v>
      </c>
      <c r="C115" t="s">
        <v>47</v>
      </c>
      <c r="D115" s="27">
        <v>3.7521000400000002</v>
      </c>
    </row>
    <row r="116" spans="1:4" x14ac:dyDescent="0.2">
      <c r="A116">
        <v>116</v>
      </c>
      <c r="B116" t="s">
        <v>216</v>
      </c>
      <c r="C116" t="s">
        <v>67</v>
      </c>
      <c r="D116" s="27">
        <v>97.475816499999993</v>
      </c>
    </row>
    <row r="117" spans="1:4" x14ac:dyDescent="0.2">
      <c r="A117">
        <v>117</v>
      </c>
      <c r="B117" t="s">
        <v>319</v>
      </c>
      <c r="C117" t="s">
        <v>170</v>
      </c>
      <c r="D117" s="27">
        <v>21.22904707</v>
      </c>
    </row>
    <row r="118" spans="1:4" x14ac:dyDescent="0.2">
      <c r="A118" s="26">
        <v>118</v>
      </c>
      <c r="B118" t="s">
        <v>318</v>
      </c>
      <c r="C118" t="s">
        <v>169</v>
      </c>
      <c r="D118" s="27">
        <v>10104.09836066</v>
      </c>
    </row>
    <row r="119" spans="1:4" x14ac:dyDescent="0.2">
      <c r="A119">
        <v>119</v>
      </c>
      <c r="B119" t="s">
        <v>250</v>
      </c>
      <c r="C119" t="s">
        <v>101</v>
      </c>
      <c r="D119" s="27">
        <v>1.33021729</v>
      </c>
    </row>
    <row r="120" spans="1:4" x14ac:dyDescent="0.2">
      <c r="A120">
        <v>120</v>
      </c>
      <c r="B120" t="s">
        <v>299</v>
      </c>
      <c r="C120" t="s">
        <v>150</v>
      </c>
      <c r="D120">
        <v>8.05861844</v>
      </c>
    </row>
    <row r="121" spans="1:4" x14ac:dyDescent="0.2">
      <c r="A121" s="26">
        <v>121</v>
      </c>
      <c r="B121" t="s">
        <v>221</v>
      </c>
      <c r="C121" t="s">
        <v>72</v>
      </c>
      <c r="D121" s="27">
        <v>579.18559123</v>
      </c>
    </row>
    <row r="122" spans="1:4" x14ac:dyDescent="0.2">
      <c r="A122">
        <v>122</v>
      </c>
      <c r="B122" t="s">
        <v>204</v>
      </c>
      <c r="C122" t="s">
        <v>55</v>
      </c>
      <c r="D122">
        <v>14.61588759</v>
      </c>
    </row>
    <row r="123" spans="1:4" x14ac:dyDescent="0.2">
      <c r="A123">
        <v>123</v>
      </c>
      <c r="B123" t="s">
        <v>222</v>
      </c>
      <c r="C123" t="s">
        <v>73</v>
      </c>
      <c r="D123" s="27">
        <v>1103.5246390299999</v>
      </c>
    </row>
    <row r="124" spans="1:4" x14ac:dyDescent="0.2">
      <c r="A124" s="26">
        <v>124</v>
      </c>
      <c r="B124" t="s">
        <v>282</v>
      </c>
      <c r="C124" t="s">
        <v>133</v>
      </c>
      <c r="D124" s="27">
        <v>175.87387644</v>
      </c>
    </row>
    <row r="125" spans="1:4" x14ac:dyDescent="0.2">
      <c r="A125">
        <v>125</v>
      </c>
      <c r="B125" t="s">
        <v>310</v>
      </c>
      <c r="C125" t="s">
        <v>161</v>
      </c>
      <c r="D125" s="27">
        <v>190.18256621</v>
      </c>
    </row>
    <row r="126" spans="1:4" x14ac:dyDescent="0.2">
      <c r="A126">
        <v>126</v>
      </c>
      <c r="B126" t="s">
        <v>237</v>
      </c>
      <c r="C126" t="s">
        <v>88</v>
      </c>
      <c r="D126" s="27">
        <v>55.195522390000001</v>
      </c>
    </row>
    <row r="127" spans="1:4" x14ac:dyDescent="0.2">
      <c r="A127" s="26">
        <v>127</v>
      </c>
      <c r="B127" t="s">
        <v>290</v>
      </c>
      <c r="C127" t="s">
        <v>141</v>
      </c>
      <c r="D127">
        <v>14.16896552</v>
      </c>
    </row>
    <row r="128" spans="1:4" x14ac:dyDescent="0.2">
      <c r="A128">
        <v>128</v>
      </c>
      <c r="B128" t="s">
        <v>273</v>
      </c>
      <c r="C128" t="s">
        <v>124</v>
      </c>
      <c r="D128">
        <v>14.60545024</v>
      </c>
    </row>
    <row r="129" spans="1:4" x14ac:dyDescent="0.2">
      <c r="A129">
        <v>129</v>
      </c>
      <c r="B129" t="s">
        <v>303</v>
      </c>
      <c r="C129" t="s">
        <v>154</v>
      </c>
      <c r="D129" s="27">
        <v>8.2765902199999992</v>
      </c>
    </row>
    <row r="130" spans="1:4" x14ac:dyDescent="0.2">
      <c r="A130" s="26">
        <v>130</v>
      </c>
      <c r="B130" t="s">
        <v>176</v>
      </c>
      <c r="C130" t="s">
        <v>27</v>
      </c>
      <c r="D130">
        <v>0.88960620000000001</v>
      </c>
    </row>
    <row r="131" spans="1:4" x14ac:dyDescent="0.2">
      <c r="A131">
        <v>131</v>
      </c>
      <c r="B131" t="s">
        <v>194</v>
      </c>
      <c r="C131" t="s">
        <v>45</v>
      </c>
      <c r="D131" s="27">
        <v>1275.20689655</v>
      </c>
    </row>
    <row r="132" spans="1:4" x14ac:dyDescent="0.2">
      <c r="A132">
        <v>132</v>
      </c>
      <c r="B132" t="s">
        <v>288</v>
      </c>
      <c r="C132" t="s">
        <v>139</v>
      </c>
      <c r="D132">
        <v>11.25885192</v>
      </c>
    </row>
    <row r="133" spans="1:4" x14ac:dyDescent="0.2">
      <c r="A133" s="26">
        <v>133</v>
      </c>
      <c r="B133" t="s">
        <v>177</v>
      </c>
      <c r="C133" t="s">
        <v>28</v>
      </c>
      <c r="D133" s="27">
        <v>2321.4689265500001</v>
      </c>
    </row>
    <row r="134" spans="1:4" x14ac:dyDescent="0.2">
      <c r="A134">
        <v>134</v>
      </c>
      <c r="B134" t="s">
        <v>213</v>
      </c>
      <c r="C134" t="s">
        <v>64</v>
      </c>
      <c r="D134">
        <v>30.144731310000001</v>
      </c>
    </row>
    <row r="135" spans="1:4" x14ac:dyDescent="0.2">
      <c r="A135">
        <v>135</v>
      </c>
      <c r="B135" t="s">
        <v>195</v>
      </c>
      <c r="C135" t="s">
        <v>46</v>
      </c>
      <c r="D135">
        <v>2.2877203800000001</v>
      </c>
    </row>
    <row r="136" spans="1:4" x14ac:dyDescent="0.2">
      <c r="A136" s="26">
        <v>136</v>
      </c>
      <c r="B136" t="s">
        <v>246</v>
      </c>
      <c r="C136" t="s">
        <v>97</v>
      </c>
      <c r="D136">
        <v>6.7992277999999997</v>
      </c>
    </row>
    <row r="137" spans="1:4" x14ac:dyDescent="0.2">
      <c r="A137">
        <v>137</v>
      </c>
      <c r="B137" t="s">
        <v>252</v>
      </c>
      <c r="C137" t="s">
        <v>103</v>
      </c>
      <c r="D137">
        <v>2.7114611800000001</v>
      </c>
    </row>
    <row r="138" spans="1:4" x14ac:dyDescent="0.2">
      <c r="A138">
        <v>138</v>
      </c>
      <c r="B138" t="s">
        <v>286</v>
      </c>
      <c r="C138" t="s">
        <v>137</v>
      </c>
      <c r="D138" s="27">
        <v>7.5822863900000002</v>
      </c>
    </row>
    <row r="139" spans="1:4" x14ac:dyDescent="0.2">
      <c r="A139" s="26">
        <v>139</v>
      </c>
      <c r="B139" t="s">
        <v>312</v>
      </c>
      <c r="C139" t="s">
        <v>163</v>
      </c>
      <c r="D139" s="27">
        <v>3.6653770899999998</v>
      </c>
    </row>
    <row r="140" spans="1:4" x14ac:dyDescent="0.2">
      <c r="A140">
        <v>140</v>
      </c>
      <c r="B140" s="33" t="s">
        <v>172</v>
      </c>
      <c r="C140" s="33" t="s">
        <v>6</v>
      </c>
      <c r="D140" s="33">
        <v>0.73815889999999995</v>
      </c>
    </row>
    <row r="141" spans="1:4" x14ac:dyDescent="0.2">
      <c r="A141">
        <v>141</v>
      </c>
      <c r="B141" t="s">
        <v>275</v>
      </c>
      <c r="C141" t="s">
        <v>126</v>
      </c>
      <c r="D141" s="27">
        <v>3654.2490118599999</v>
      </c>
    </row>
    <row r="142" spans="1:4" x14ac:dyDescent="0.2">
      <c r="A142" s="26">
        <v>142</v>
      </c>
      <c r="B142" t="s">
        <v>297</v>
      </c>
      <c r="C142" t="s">
        <v>148</v>
      </c>
      <c r="D142" s="27">
        <v>28.348981899999998</v>
      </c>
    </row>
    <row r="143" spans="1:4" x14ac:dyDescent="0.2">
      <c r="A143">
        <v>143</v>
      </c>
      <c r="B143" t="s">
        <v>183</v>
      </c>
      <c r="C143" t="s">
        <v>34</v>
      </c>
      <c r="D143" s="27">
        <v>42.230603680000002</v>
      </c>
    </row>
    <row r="144" spans="1:4" x14ac:dyDescent="0.2">
      <c r="A144">
        <v>144</v>
      </c>
      <c r="B144" t="s">
        <v>199</v>
      </c>
      <c r="C144" t="s">
        <v>50</v>
      </c>
      <c r="D144" s="27">
        <v>10392.429920410001</v>
      </c>
    </row>
    <row r="145" spans="1:4" x14ac:dyDescent="0.2">
      <c r="A145" s="26">
        <v>145</v>
      </c>
      <c r="B145" t="s">
        <v>284</v>
      </c>
      <c r="C145" t="s">
        <v>135</v>
      </c>
      <c r="D145">
        <v>109.13356548</v>
      </c>
    </row>
    <row r="146" spans="1:4" x14ac:dyDescent="0.2">
      <c r="A146">
        <v>146</v>
      </c>
      <c r="B146" t="s">
        <v>254</v>
      </c>
      <c r="C146" t="s">
        <v>105</v>
      </c>
      <c r="D146" s="27">
        <v>1062672.4137931</v>
      </c>
    </row>
    <row r="147" spans="1:4" x14ac:dyDescent="0.2">
      <c r="A147">
        <v>147</v>
      </c>
      <c r="B147" t="s">
        <v>268</v>
      </c>
      <c r="C147" t="s">
        <v>119</v>
      </c>
      <c r="D147" s="27">
        <v>23084.611397770001</v>
      </c>
    </row>
    <row r="148" spans="1:4" x14ac:dyDescent="0.2">
      <c r="A148" s="26">
        <v>148</v>
      </c>
      <c r="B148" t="s">
        <v>214</v>
      </c>
      <c r="C148" t="s">
        <v>65</v>
      </c>
      <c r="D148">
        <v>539.08143803999997</v>
      </c>
    </row>
    <row r="149" spans="1:4" x14ac:dyDescent="0.2">
      <c r="A149">
        <v>149</v>
      </c>
      <c r="B149" t="s">
        <v>257</v>
      </c>
      <c r="C149" t="s">
        <v>108</v>
      </c>
      <c r="D149">
        <v>250.59971539</v>
      </c>
    </row>
    <row r="150" spans="1:4" x14ac:dyDescent="0.2">
      <c r="A150">
        <v>150</v>
      </c>
      <c r="B150" t="s">
        <v>256</v>
      </c>
      <c r="C150" t="s">
        <v>107</v>
      </c>
      <c r="D150" s="27">
        <v>21.180412369999999</v>
      </c>
    </row>
  </sheetData>
  <sortState ref="B2:D150">
    <sortCondition ref="B1"/>
  </sortState>
  <mergeCells count="1">
    <mergeCell ref="H1:L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5"/>
  <sheetViews>
    <sheetView workbookViewId="0">
      <selection activeCell="C24" sqref="C24"/>
    </sheetView>
  </sheetViews>
  <sheetFormatPr defaultRowHeight="12.75" x14ac:dyDescent="0.2"/>
  <cols>
    <col min="1" max="1" width="21.140625" customWidth="1"/>
    <col min="2" max="2" width="26.7109375" customWidth="1"/>
    <col min="4" max="4" width="9.140625" customWidth="1"/>
    <col min="5" max="6" width="15.5703125" customWidth="1"/>
    <col min="9" max="9" width="11.28515625" customWidth="1"/>
  </cols>
  <sheetData>
    <row r="1" spans="1:18" x14ac:dyDescent="0.2">
      <c r="A1" s="26" t="s">
        <v>7</v>
      </c>
      <c r="B1" s="25" t="s">
        <v>325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117</v>
      </c>
      <c r="H1" s="26" t="s">
        <v>25</v>
      </c>
      <c r="I1" s="26" t="s">
        <v>29</v>
      </c>
    </row>
    <row r="2" spans="1:18" x14ac:dyDescent="0.2">
      <c r="A2">
        <v>1</v>
      </c>
      <c r="B2" t="s">
        <v>8</v>
      </c>
      <c r="C2" s="29">
        <v>100</v>
      </c>
      <c r="D2" s="29">
        <f>C20*C2</f>
        <v>82.04409299999999</v>
      </c>
      <c r="E2">
        <f>D20*C2</f>
        <v>131.81497400000001</v>
      </c>
      <c r="F2">
        <f>E20*C2</f>
        <v>73.815889999999996</v>
      </c>
      <c r="G2">
        <f>F20*C2</f>
        <v>7362.0143589999998</v>
      </c>
      <c r="H2">
        <f>G20*C2</f>
        <v>128.45633599999999</v>
      </c>
      <c r="I2">
        <f>H20*C2</f>
        <v>653.20907799999998</v>
      </c>
      <c r="N2" s="28" t="s">
        <v>324</v>
      </c>
      <c r="O2" s="26" t="s">
        <v>323</v>
      </c>
    </row>
    <row r="3" spans="1:18" x14ac:dyDescent="0.2">
      <c r="A3">
        <v>2</v>
      </c>
      <c r="B3" t="s">
        <v>9</v>
      </c>
      <c r="C3" s="29">
        <v>80</v>
      </c>
      <c r="D3" s="29">
        <f>C21*C3</f>
        <v>65.6352744</v>
      </c>
      <c r="E3">
        <f>D21*C3</f>
        <v>105.4519792</v>
      </c>
      <c r="F3">
        <f>E21*C3</f>
        <v>59.052712</v>
      </c>
      <c r="G3">
        <f>F21*C3</f>
        <v>5889.6114871999998</v>
      </c>
      <c r="H3">
        <f>G21*C3</f>
        <v>102.76506879999999</v>
      </c>
      <c r="I3">
        <f>H21*C3</f>
        <v>522.5672624</v>
      </c>
      <c r="N3" s="26" t="s">
        <v>3</v>
      </c>
      <c r="O3">
        <v>1</v>
      </c>
    </row>
    <row r="4" spans="1:18" x14ac:dyDescent="0.2">
      <c r="A4">
        <v>3</v>
      </c>
      <c r="B4" s="26" t="s">
        <v>11</v>
      </c>
      <c r="C4" s="29">
        <v>50</v>
      </c>
      <c r="D4" s="29">
        <f>C22*C4</f>
        <v>41.022046499999995</v>
      </c>
      <c r="E4">
        <f>D22*C4</f>
        <v>65.907487000000003</v>
      </c>
      <c r="F4">
        <f>E22*C4</f>
        <v>36.907944999999998</v>
      </c>
      <c r="G4">
        <f>F22*C4</f>
        <v>3681.0071794999999</v>
      </c>
      <c r="H4">
        <f>G22*C4</f>
        <v>64.228167999999997</v>
      </c>
      <c r="I4">
        <f>H22*C4</f>
        <v>326.60453899999999</v>
      </c>
      <c r="N4" s="26" t="s">
        <v>4</v>
      </c>
      <c r="O4">
        <f>VLOOKUP(Sorting!A45,Sorting!A1:D150,4,FALSE)</f>
        <v>0.82044092999999996</v>
      </c>
      <c r="R4" s="26"/>
    </row>
    <row r="5" spans="1:18" x14ac:dyDescent="0.2">
      <c r="A5">
        <v>4</v>
      </c>
      <c r="B5" t="s">
        <v>12</v>
      </c>
      <c r="C5" s="29">
        <v>15</v>
      </c>
      <c r="D5" s="29">
        <f>C23*C5</f>
        <v>12.306613949999999</v>
      </c>
      <c r="E5">
        <f>D23*C5</f>
        <v>19.7722461</v>
      </c>
      <c r="F5">
        <f>E23*C5</f>
        <v>11.072383499999999</v>
      </c>
      <c r="G5">
        <f>F23*C5</f>
        <v>1104.30215385</v>
      </c>
      <c r="H5">
        <f>G23*C5</f>
        <v>19.268450399999999</v>
      </c>
      <c r="I5">
        <f>H23*C5</f>
        <v>97.981361699999994</v>
      </c>
      <c r="N5" s="26" t="s">
        <v>5</v>
      </c>
      <c r="O5">
        <f>VLOOKUP(Sorting!A9,Sorting!A1:D150,4,FALSE)</f>
        <v>1.31814974</v>
      </c>
    </row>
    <row r="6" spans="1:18" x14ac:dyDescent="0.2">
      <c r="A6">
        <v>5</v>
      </c>
      <c r="B6" t="s">
        <v>10</v>
      </c>
      <c r="C6" s="29">
        <v>12.5</v>
      </c>
      <c r="D6" s="29">
        <f>C24*C6</f>
        <v>10.255511624999999</v>
      </c>
      <c r="E6">
        <f>D24*C6</f>
        <v>16.476871750000001</v>
      </c>
      <c r="F6">
        <f>E24*C6</f>
        <v>9.2269862499999995</v>
      </c>
      <c r="G6">
        <f>F24*C6</f>
        <v>920.25179487499997</v>
      </c>
      <c r="H6">
        <f>G24*C6</f>
        <v>16.057041999999999</v>
      </c>
      <c r="I6">
        <f>H24*C6</f>
        <v>81.651134749999997</v>
      </c>
      <c r="N6" s="26" t="s">
        <v>6</v>
      </c>
      <c r="O6">
        <f>VLOOKUP(Sorting!A140,Sorting!A1:D150,4,FALSE)</f>
        <v>0.73815889999999995</v>
      </c>
    </row>
    <row r="7" spans="1:18" x14ac:dyDescent="0.2">
      <c r="A7">
        <v>6</v>
      </c>
      <c r="B7" t="s">
        <v>13</v>
      </c>
      <c r="C7" s="29">
        <v>12.5</v>
      </c>
      <c r="D7" s="29">
        <f>C25*C7</f>
        <v>10.255511624999999</v>
      </c>
      <c r="E7">
        <f>D25*C7</f>
        <v>16.476871750000001</v>
      </c>
      <c r="F7">
        <f>E25*C7</f>
        <v>9.2269862499999995</v>
      </c>
      <c r="G7">
        <f>F25*C7</f>
        <v>920.25179487499997</v>
      </c>
      <c r="H7">
        <f>G25*C7</f>
        <v>16.057041999999999</v>
      </c>
      <c r="I7">
        <f>H25*C7</f>
        <v>81.651134749999997</v>
      </c>
      <c r="N7" s="26" t="s">
        <v>117</v>
      </c>
      <c r="O7">
        <f>VLOOKUP(Sorting!A59,Sorting!A1:D150,4,FALSE)</f>
        <v>73.620143589999998</v>
      </c>
    </row>
    <row r="8" spans="1:18" x14ac:dyDescent="0.2">
      <c r="A8">
        <v>7</v>
      </c>
      <c r="B8" t="s">
        <v>14</v>
      </c>
      <c r="C8" s="29">
        <v>12.5</v>
      </c>
      <c r="D8" s="29">
        <f>C26*C8</f>
        <v>10.255511624999999</v>
      </c>
      <c r="E8">
        <f>D26*C8</f>
        <v>16.476871750000001</v>
      </c>
      <c r="F8">
        <f>E26*C8</f>
        <v>9.2269862499999995</v>
      </c>
      <c r="G8">
        <f>F26*C8</f>
        <v>920.25179487499997</v>
      </c>
      <c r="H8">
        <f>G26*C8</f>
        <v>16.057041999999999</v>
      </c>
      <c r="I8">
        <f>H26*C8</f>
        <v>81.651134749999997</v>
      </c>
      <c r="N8" s="26" t="s">
        <v>25</v>
      </c>
      <c r="O8">
        <f>VLOOKUP(Sorting!A25,Sorting!A1:D150,4,FALSE)</f>
        <v>1.2845633599999999</v>
      </c>
    </row>
    <row r="9" spans="1:18" x14ac:dyDescent="0.2">
      <c r="A9">
        <v>8</v>
      </c>
      <c r="B9" t="s">
        <v>15</v>
      </c>
      <c r="C9" s="29">
        <v>12.5</v>
      </c>
      <c r="D9" s="29">
        <f>C27*C9</f>
        <v>10.255511624999999</v>
      </c>
      <c r="E9">
        <f>D27*C9</f>
        <v>16.476871750000001</v>
      </c>
      <c r="F9">
        <f>E27*C9</f>
        <v>9.2269862499999995</v>
      </c>
      <c r="G9">
        <f>F27*C9</f>
        <v>920.25179487499997</v>
      </c>
      <c r="H9">
        <f>G27*C9</f>
        <v>16.057041999999999</v>
      </c>
      <c r="I9">
        <f>H27*C9</f>
        <v>81.651134749999997</v>
      </c>
      <c r="N9" s="26" t="s">
        <v>29</v>
      </c>
      <c r="O9">
        <f>VLOOKUP(Sorting!A30,Sorting!A1:D150,4,FALSE)</f>
        <v>6.5320907799999999</v>
      </c>
    </row>
    <row r="10" spans="1:18" x14ac:dyDescent="0.2">
      <c r="A10">
        <v>9</v>
      </c>
      <c r="B10" t="s">
        <v>16</v>
      </c>
      <c r="C10" s="29">
        <v>10</v>
      </c>
      <c r="D10" s="29">
        <f>C28*C10</f>
        <v>8.2044093</v>
      </c>
      <c r="E10">
        <f>D28*C10</f>
        <v>13.1814974</v>
      </c>
      <c r="F10">
        <f>E28*C10</f>
        <v>7.381589</v>
      </c>
      <c r="G10">
        <f>F28*C10</f>
        <v>736.20143589999998</v>
      </c>
      <c r="H10">
        <f>G28*C10</f>
        <v>12.845633599999999</v>
      </c>
      <c r="I10">
        <f>H28*C10</f>
        <v>65.320907800000001</v>
      </c>
    </row>
    <row r="11" spans="1:18" x14ac:dyDescent="0.2">
      <c r="A11">
        <v>10</v>
      </c>
      <c r="B11" t="s">
        <v>17</v>
      </c>
      <c r="C11" s="29">
        <v>10</v>
      </c>
      <c r="D11" s="29">
        <f>C29*C11</f>
        <v>8.2044093</v>
      </c>
      <c r="E11">
        <f>D29*C11</f>
        <v>13.1814974</v>
      </c>
      <c r="F11">
        <f>E29*C11</f>
        <v>7.381589</v>
      </c>
      <c r="G11">
        <f>F29*C11</f>
        <v>736.20143589999998</v>
      </c>
      <c r="H11">
        <f>G29*C11</f>
        <v>12.845633599999999</v>
      </c>
      <c r="I11">
        <f>H29*C11</f>
        <v>65.320907800000001</v>
      </c>
    </row>
    <row r="12" spans="1:18" x14ac:dyDescent="0.2">
      <c r="A12">
        <v>11</v>
      </c>
      <c r="B12" t="s">
        <v>18</v>
      </c>
      <c r="C12" s="29">
        <v>10</v>
      </c>
      <c r="D12" s="29">
        <f>C30*C12</f>
        <v>8.2044093</v>
      </c>
      <c r="E12">
        <f>D30*C12</f>
        <v>13.1814974</v>
      </c>
      <c r="F12">
        <f>E30*C12</f>
        <v>7.381589</v>
      </c>
      <c r="G12">
        <f>F30*C12</f>
        <v>736.20143589999998</v>
      </c>
      <c r="H12">
        <f>G30*C12</f>
        <v>12.845633599999999</v>
      </c>
      <c r="I12">
        <f>H30*C12</f>
        <v>65.320907800000001</v>
      </c>
    </row>
    <row r="13" spans="1:18" x14ac:dyDescent="0.2">
      <c r="A13">
        <v>12</v>
      </c>
      <c r="B13" t="s">
        <v>19</v>
      </c>
      <c r="C13" s="29">
        <v>10</v>
      </c>
      <c r="D13" s="29">
        <f>C31*C13</f>
        <v>8.2044093</v>
      </c>
      <c r="E13">
        <f>D31*C13</f>
        <v>13.1814974</v>
      </c>
      <c r="F13">
        <f>E31*C13</f>
        <v>7.381589</v>
      </c>
      <c r="G13">
        <f>F31*C13</f>
        <v>736.20143589999998</v>
      </c>
      <c r="H13">
        <f>G31*C13</f>
        <v>12.845633599999999</v>
      </c>
      <c r="I13">
        <f>H31*C13</f>
        <v>65.320907800000001</v>
      </c>
    </row>
    <row r="14" spans="1:18" x14ac:dyDescent="0.2">
      <c r="A14">
        <v>13</v>
      </c>
      <c r="B14" t="s">
        <v>20</v>
      </c>
      <c r="C14" s="29">
        <v>7.5</v>
      </c>
      <c r="D14" s="29">
        <f>C32*C14</f>
        <v>6.1533069749999996</v>
      </c>
      <c r="E14">
        <f>D32*C14</f>
        <v>9.8861230500000001</v>
      </c>
      <c r="F14">
        <f>E32*C14</f>
        <v>5.5361917499999995</v>
      </c>
      <c r="G14">
        <f>F32*C14</f>
        <v>552.15107692499998</v>
      </c>
      <c r="H14">
        <f>G32*C14</f>
        <v>9.6342251999999995</v>
      </c>
      <c r="I14">
        <f>H32*C14</f>
        <v>48.990680849999997</v>
      </c>
    </row>
    <row r="15" spans="1:18" x14ac:dyDescent="0.2">
      <c r="A15">
        <v>14</v>
      </c>
      <c r="B15" t="s">
        <v>21</v>
      </c>
      <c r="C15" s="29">
        <v>7.5</v>
      </c>
      <c r="D15" s="29">
        <f>C33*C15</f>
        <v>6.1533069749999996</v>
      </c>
      <c r="E15">
        <f>D33*C15</f>
        <v>9.8861230500000001</v>
      </c>
      <c r="F15">
        <f>E33*C15</f>
        <v>5.5361917499999995</v>
      </c>
      <c r="G15">
        <f>F33*C15</f>
        <v>552.15107692499998</v>
      </c>
      <c r="H15">
        <f>G33*C15</f>
        <v>9.6342251999999995</v>
      </c>
      <c r="I15">
        <f>H33*C15</f>
        <v>48.990680849999997</v>
      </c>
    </row>
    <row r="16" spans="1:18" x14ac:dyDescent="0.2">
      <c r="A16">
        <v>15</v>
      </c>
      <c r="B16" t="s">
        <v>22</v>
      </c>
      <c r="C16" s="29">
        <v>7.5</v>
      </c>
      <c r="D16" s="29">
        <f>C34*C16</f>
        <v>6.1533069749999996</v>
      </c>
      <c r="E16">
        <f>D34*C16</f>
        <v>9.8861230500000001</v>
      </c>
      <c r="F16">
        <f>E34*C16</f>
        <v>5.5361917499999995</v>
      </c>
      <c r="G16">
        <f>F34*C16</f>
        <v>552.15107692499998</v>
      </c>
      <c r="H16">
        <f>G34*C16</f>
        <v>9.6342251999999995</v>
      </c>
      <c r="I16">
        <f>H34*C16</f>
        <v>48.990680849999997</v>
      </c>
    </row>
    <row r="17" spans="1:9" x14ac:dyDescent="0.2">
      <c r="A17">
        <v>16</v>
      </c>
      <c r="B17" t="s">
        <v>23</v>
      </c>
      <c r="C17" s="29">
        <v>7.5</v>
      </c>
      <c r="D17" s="29">
        <f>C35*C17</f>
        <v>6.1533069749999996</v>
      </c>
      <c r="E17">
        <f>D35*C17</f>
        <v>9.8861230500000001</v>
      </c>
      <c r="F17">
        <f>E35*C17</f>
        <v>5.5361917499999995</v>
      </c>
      <c r="G17">
        <f>F35*C17</f>
        <v>552.15107692499998</v>
      </c>
      <c r="H17">
        <f>G35*C17</f>
        <v>9.6342251999999995</v>
      </c>
      <c r="I17">
        <f>H35*C17</f>
        <v>48.990680849999997</v>
      </c>
    </row>
    <row r="18" spans="1:9" x14ac:dyDescent="0.2">
      <c r="B18" s="26"/>
      <c r="D18" s="29"/>
    </row>
    <row r="19" spans="1:9" x14ac:dyDescent="0.2">
      <c r="A19" s="26" t="s">
        <v>326</v>
      </c>
      <c r="B19" s="26" t="s">
        <v>3</v>
      </c>
      <c r="C19" s="26" t="s">
        <v>24</v>
      </c>
      <c r="D19" s="26" t="s">
        <v>5</v>
      </c>
      <c r="E19" s="26" t="s">
        <v>6</v>
      </c>
      <c r="F19" s="26" t="s">
        <v>117</v>
      </c>
      <c r="G19" s="26" t="s">
        <v>25</v>
      </c>
      <c r="H19" s="26" t="s">
        <v>29</v>
      </c>
    </row>
    <row r="20" spans="1:9" x14ac:dyDescent="0.2">
      <c r="A20">
        <v>1</v>
      </c>
      <c r="B20">
        <v>1</v>
      </c>
      <c r="C20" s="29">
        <f>VLOOKUP(Sorting!A45,Sorting!A1:D150,4,FALSE)</f>
        <v>0.82044092999999996</v>
      </c>
      <c r="D20">
        <f>VLOOKUP(Sorting!A9,Sorting!A1:D150,4,FALSE)</f>
        <v>1.31814974</v>
      </c>
      <c r="E20">
        <f>VLOOKUP(Sorting!A140,Sorting!A1:D150,4,FALSE)</f>
        <v>0.73815889999999995</v>
      </c>
      <c r="F20">
        <f>VLOOKUP(Sorting!A59,Sorting!A1:D150,4,FALSE)</f>
        <v>73.620143589999998</v>
      </c>
      <c r="G20">
        <f>VLOOKUP(Sorting!A25,Sorting!A1:D150,4,FALSE)</f>
        <v>1.2845633599999999</v>
      </c>
      <c r="H20">
        <f>VLOOKUP(Sorting!A30,Sorting!A1:D150,4,FALSE)</f>
        <v>6.5320907799999999</v>
      </c>
    </row>
    <row r="21" spans="1:9" x14ac:dyDescent="0.2">
      <c r="A21">
        <v>2</v>
      </c>
      <c r="B21">
        <v>1</v>
      </c>
      <c r="C21" s="29">
        <f>VLOOKUP(Sorting!A45,Sorting!A1:D150,4,FALSE)</f>
        <v>0.82044092999999996</v>
      </c>
      <c r="D21">
        <f>VLOOKUP(Sorting!A9,Sorting!A1:D150,4,FALSE)</f>
        <v>1.31814974</v>
      </c>
      <c r="E21">
        <f>VLOOKUP(Sorting!A140,Sorting!A1:D150,4,FALSE)</f>
        <v>0.73815889999999995</v>
      </c>
      <c r="F21">
        <f>VLOOKUP(Sorting!A59,Sorting!A1:D150,4,FALSE)</f>
        <v>73.620143589999998</v>
      </c>
      <c r="G21">
        <f>VLOOKUP(Sorting!A25,Sorting!A1:D150,4,FALSE)</f>
        <v>1.2845633599999999</v>
      </c>
      <c r="H21">
        <f>VLOOKUP(Sorting!A30,Sorting!A1:D150,4,FALSE)</f>
        <v>6.5320907799999999</v>
      </c>
    </row>
    <row r="22" spans="1:9" x14ac:dyDescent="0.2">
      <c r="A22">
        <v>3</v>
      </c>
      <c r="B22">
        <v>1</v>
      </c>
      <c r="C22" s="29">
        <f>VLOOKUP(Sorting!A45,Sorting!A1:D150,4,FALSE)</f>
        <v>0.82044092999999996</v>
      </c>
      <c r="D22">
        <f>VLOOKUP(Sorting!A9,Sorting!A1:D150,4,FALSE)</f>
        <v>1.31814974</v>
      </c>
      <c r="E22">
        <f>VLOOKUP(Sorting!A140,Sorting!A1:D150,4,FALSE)</f>
        <v>0.73815889999999995</v>
      </c>
      <c r="F22">
        <f>VLOOKUP(Sorting!A59,Sorting!A1:D150,4,FALSE)</f>
        <v>73.620143589999998</v>
      </c>
      <c r="G22">
        <f>VLOOKUP(Sorting!A25,Sorting!A1:D150,4,FALSE)</f>
        <v>1.2845633599999999</v>
      </c>
      <c r="H22">
        <f>VLOOKUP(Sorting!A30,Sorting!A1:D150,4,FALSE)</f>
        <v>6.5320907799999999</v>
      </c>
    </row>
    <row r="23" spans="1:9" x14ac:dyDescent="0.2">
      <c r="A23">
        <v>4</v>
      </c>
      <c r="B23">
        <v>1</v>
      </c>
      <c r="C23" s="29">
        <f>VLOOKUP(Sorting!A45,Sorting!A1:D150,4,FALSE)</f>
        <v>0.82044092999999996</v>
      </c>
      <c r="D23">
        <f>VLOOKUP(Sorting!A9,Sorting!A1:D150,4,FALSE)</f>
        <v>1.31814974</v>
      </c>
      <c r="E23">
        <f>VLOOKUP(Sorting!A140,Sorting!A1:D150,4,FALSE)</f>
        <v>0.73815889999999995</v>
      </c>
      <c r="F23">
        <f>VLOOKUP(Sorting!A59,Sorting!A1:D150,4,FALSE)</f>
        <v>73.620143589999998</v>
      </c>
      <c r="G23">
        <f>VLOOKUP(Sorting!A25,Sorting!A1:D150,4,FALSE)</f>
        <v>1.2845633599999999</v>
      </c>
      <c r="H23">
        <f>VLOOKUP(Sorting!A30,Sorting!A1:D150,4,FALSE)</f>
        <v>6.5320907799999999</v>
      </c>
    </row>
    <row r="24" spans="1:9" x14ac:dyDescent="0.2">
      <c r="A24">
        <v>5</v>
      </c>
      <c r="B24">
        <v>1</v>
      </c>
      <c r="C24" s="29">
        <f>VLOOKUP(Sorting!A45,Sorting!A1:D150,4,FALSE)</f>
        <v>0.82044092999999996</v>
      </c>
      <c r="D24">
        <f>VLOOKUP(Sorting!A9,Sorting!A1:D150,4,FALSE)</f>
        <v>1.31814974</v>
      </c>
      <c r="E24">
        <f>VLOOKUP(Sorting!A140,Sorting!A1:D150,4,FALSE)</f>
        <v>0.73815889999999995</v>
      </c>
      <c r="F24">
        <f>VLOOKUP(Sorting!A59,Sorting!A1:D150,4,FALSE)</f>
        <v>73.620143589999998</v>
      </c>
      <c r="G24">
        <f>VLOOKUP(Sorting!A25,Sorting!A1:D150,4,FALSE)</f>
        <v>1.2845633599999999</v>
      </c>
      <c r="H24">
        <f>VLOOKUP(Sorting!A30,Sorting!A1:D150,4,FALSE)</f>
        <v>6.5320907799999999</v>
      </c>
    </row>
    <row r="25" spans="1:9" x14ac:dyDescent="0.2">
      <c r="A25">
        <v>6</v>
      </c>
      <c r="B25">
        <v>1</v>
      </c>
      <c r="C25" s="29">
        <f>VLOOKUP(Sorting!A45,Sorting!A1:D150,4,FALSE)</f>
        <v>0.82044092999999996</v>
      </c>
      <c r="D25">
        <f>VLOOKUP(Sorting!A9,Sorting!A1:D150,4,FALSE)</f>
        <v>1.31814974</v>
      </c>
      <c r="E25">
        <f>VLOOKUP(Sorting!A140,Sorting!A1:D150,4,FALSE)</f>
        <v>0.73815889999999995</v>
      </c>
      <c r="F25">
        <f>VLOOKUP(Sorting!A59,Sorting!A1:D150,4,FALSE)</f>
        <v>73.620143589999998</v>
      </c>
      <c r="G25">
        <f>VLOOKUP(Sorting!A25,Sorting!A1:D150,4,FALSE)</f>
        <v>1.2845633599999999</v>
      </c>
      <c r="H25">
        <f>VLOOKUP(Sorting!A30,Sorting!A1:D150,4,FALSE)</f>
        <v>6.5320907799999999</v>
      </c>
    </row>
    <row r="26" spans="1:9" x14ac:dyDescent="0.2">
      <c r="A26">
        <v>7</v>
      </c>
      <c r="B26">
        <v>1</v>
      </c>
      <c r="C26" s="29">
        <f>VLOOKUP(Sorting!A45,Sorting!A1:D150,4,FALSE)</f>
        <v>0.82044092999999996</v>
      </c>
      <c r="D26">
        <f>VLOOKUP(Sorting!A9,Sorting!A1:D150,4,FALSE)</f>
        <v>1.31814974</v>
      </c>
      <c r="E26">
        <f>VLOOKUP(Sorting!A140,Sorting!A1:D150,4,FALSE)</f>
        <v>0.73815889999999995</v>
      </c>
      <c r="F26">
        <f>VLOOKUP(Sorting!A59,Sorting!A1:D150,4,FALSE)</f>
        <v>73.620143589999998</v>
      </c>
      <c r="G26">
        <f>VLOOKUP(Sorting!A25,Sorting!A1:D150,4,FALSE)</f>
        <v>1.2845633599999999</v>
      </c>
      <c r="H26">
        <f>VLOOKUP(Sorting!A30,Sorting!A1:D150,4,FALSE)</f>
        <v>6.5320907799999999</v>
      </c>
    </row>
    <row r="27" spans="1:9" x14ac:dyDescent="0.2">
      <c r="A27">
        <v>8</v>
      </c>
      <c r="B27">
        <v>1</v>
      </c>
      <c r="C27" s="29">
        <f>VLOOKUP(Sorting!A45,Sorting!A1:D150,4,FALSE)</f>
        <v>0.82044092999999996</v>
      </c>
      <c r="D27">
        <f>VLOOKUP(Sorting!A9,Sorting!A1:D150,4,FALSE)</f>
        <v>1.31814974</v>
      </c>
      <c r="E27">
        <f>VLOOKUP(Sorting!A140,Sorting!A1:D150,4,FALSE)</f>
        <v>0.73815889999999995</v>
      </c>
      <c r="F27">
        <f>VLOOKUP(Sorting!A59,Sorting!A1:D150,4,FALSE)</f>
        <v>73.620143589999998</v>
      </c>
      <c r="G27">
        <f>VLOOKUP(Sorting!A25,Sorting!A1:D150,4,FALSE)</f>
        <v>1.2845633599999999</v>
      </c>
      <c r="H27">
        <f>VLOOKUP(Sorting!A30,Sorting!A1:D150,4,FALSE)</f>
        <v>6.5320907799999999</v>
      </c>
    </row>
    <row r="28" spans="1:9" x14ac:dyDescent="0.2">
      <c r="A28">
        <v>9</v>
      </c>
      <c r="B28">
        <v>1</v>
      </c>
      <c r="C28" s="29">
        <f>VLOOKUP(Sorting!A45,Sorting!A1:D150,4,FALSE)</f>
        <v>0.82044092999999996</v>
      </c>
      <c r="D28">
        <f>VLOOKUP(Sorting!A9,Sorting!A1:D150,4,FALSE)</f>
        <v>1.31814974</v>
      </c>
      <c r="E28">
        <f>VLOOKUP(Sorting!A140,Sorting!A1:D150,4,FALSE)</f>
        <v>0.73815889999999995</v>
      </c>
      <c r="F28">
        <f>VLOOKUP(Sorting!A59,Sorting!A1:D150,4,FALSE)</f>
        <v>73.620143589999998</v>
      </c>
      <c r="G28">
        <f>VLOOKUP(Sorting!A25,Sorting!A1:D150,4,FALSE)</f>
        <v>1.2845633599999999</v>
      </c>
      <c r="H28">
        <f>VLOOKUP(Sorting!A30,Sorting!A1:D150,4,FALSE)</f>
        <v>6.5320907799999999</v>
      </c>
    </row>
    <row r="29" spans="1:9" x14ac:dyDescent="0.2">
      <c r="A29">
        <v>10</v>
      </c>
      <c r="B29">
        <v>1</v>
      </c>
      <c r="C29" s="29">
        <f>VLOOKUP(Sorting!A45,Sorting!A1:D150,4,FALSE)</f>
        <v>0.82044092999999996</v>
      </c>
      <c r="D29">
        <f>VLOOKUP(Sorting!A9,Sorting!A1:D150,4,FALSE)</f>
        <v>1.31814974</v>
      </c>
      <c r="E29">
        <f>VLOOKUP(Sorting!A140,Sorting!A1:D150,4,FALSE)</f>
        <v>0.73815889999999995</v>
      </c>
      <c r="F29">
        <f>VLOOKUP(Sorting!A59,Sorting!A1:D150,4,FALSE)</f>
        <v>73.620143589999998</v>
      </c>
      <c r="G29">
        <f>VLOOKUP(Sorting!A25,Sorting!A1:D150,4,FALSE)</f>
        <v>1.2845633599999999</v>
      </c>
      <c r="H29">
        <f>VLOOKUP(Sorting!A30,Sorting!A1:D150,4,FALSE)</f>
        <v>6.5320907799999999</v>
      </c>
    </row>
    <row r="30" spans="1:9" x14ac:dyDescent="0.2">
      <c r="A30">
        <v>11</v>
      </c>
      <c r="B30">
        <v>1</v>
      </c>
      <c r="C30" s="29">
        <f>VLOOKUP(Sorting!A45,Sorting!A1:D150,4,FALSE)</f>
        <v>0.82044092999999996</v>
      </c>
      <c r="D30">
        <f>VLOOKUP(Sorting!A9,Sorting!A1:D150,4,FALSE)</f>
        <v>1.31814974</v>
      </c>
      <c r="E30">
        <f>VLOOKUP(Sorting!A140,Sorting!A1:D150,4,FALSE)</f>
        <v>0.73815889999999995</v>
      </c>
      <c r="F30">
        <f>VLOOKUP(Sorting!A59,Sorting!A1:D150,4,FALSE)</f>
        <v>73.620143589999998</v>
      </c>
      <c r="G30">
        <f>VLOOKUP(Sorting!A25,Sorting!A1:D150,4,FALSE)</f>
        <v>1.2845633599999999</v>
      </c>
      <c r="H30">
        <f>VLOOKUP(Sorting!A30,Sorting!A1:D150,4,FALSE)</f>
        <v>6.5320907799999999</v>
      </c>
    </row>
    <row r="31" spans="1:9" x14ac:dyDescent="0.2">
      <c r="A31">
        <v>12</v>
      </c>
      <c r="B31">
        <v>1</v>
      </c>
      <c r="C31" s="29">
        <f>VLOOKUP(Sorting!A45,Sorting!A1:D150,4,FALSE)</f>
        <v>0.82044092999999996</v>
      </c>
      <c r="D31">
        <f>VLOOKUP(Sorting!A9,Sorting!A1:D150,4,FALSE)</f>
        <v>1.31814974</v>
      </c>
      <c r="E31">
        <f>VLOOKUP(Sorting!A140,Sorting!A1:D150,4,FALSE)</f>
        <v>0.73815889999999995</v>
      </c>
      <c r="F31">
        <f>VLOOKUP(Sorting!A59,Sorting!A1:D150,4,FALSE)</f>
        <v>73.620143589999998</v>
      </c>
      <c r="G31">
        <f>VLOOKUP(Sorting!A25,Sorting!A1:D150,4,FALSE)</f>
        <v>1.2845633599999999</v>
      </c>
      <c r="H31">
        <f>VLOOKUP(Sorting!A30,Sorting!A1:D150,4,FALSE)</f>
        <v>6.5320907799999999</v>
      </c>
    </row>
    <row r="32" spans="1:9" x14ac:dyDescent="0.2">
      <c r="A32">
        <v>13</v>
      </c>
      <c r="B32">
        <v>1</v>
      </c>
      <c r="C32" s="29">
        <f>VLOOKUP(Sorting!A45,Sorting!A1:D150,4,FALSE)</f>
        <v>0.82044092999999996</v>
      </c>
      <c r="D32">
        <f>VLOOKUP(Sorting!A9,Sorting!A1:D150,4,FALSE)</f>
        <v>1.31814974</v>
      </c>
      <c r="E32">
        <f>VLOOKUP(Sorting!A140,Sorting!A1:D150,4,FALSE)</f>
        <v>0.73815889999999995</v>
      </c>
      <c r="F32">
        <f>VLOOKUP(Sorting!A59,Sorting!A1:D150,4,FALSE)</f>
        <v>73.620143589999998</v>
      </c>
      <c r="G32">
        <f>VLOOKUP(Sorting!A25,Sorting!A1:D150,4,FALSE)</f>
        <v>1.2845633599999999</v>
      </c>
      <c r="H32">
        <f>VLOOKUP(Sorting!A30,Sorting!A1:D150,4,FALSE)</f>
        <v>6.5320907799999999</v>
      </c>
    </row>
    <row r="33" spans="1:8" x14ac:dyDescent="0.2">
      <c r="A33">
        <v>14</v>
      </c>
      <c r="B33">
        <v>1</v>
      </c>
      <c r="C33" s="29">
        <f>VLOOKUP(Sorting!A45,Sorting!A1:D150,4,FALSE)</f>
        <v>0.82044092999999996</v>
      </c>
      <c r="D33">
        <f>VLOOKUP(Sorting!A9,Sorting!A1:D150,4,FALSE)</f>
        <v>1.31814974</v>
      </c>
      <c r="E33">
        <f>VLOOKUP(Sorting!A140,Sorting!A1:D150,4,FALSE)</f>
        <v>0.73815889999999995</v>
      </c>
      <c r="F33">
        <f>VLOOKUP(Sorting!A59,Sorting!A1:D150,4,FALSE)</f>
        <v>73.620143589999998</v>
      </c>
      <c r="G33">
        <f>VLOOKUP(Sorting!A25,Sorting!A1:D150,4,FALSE)</f>
        <v>1.2845633599999999</v>
      </c>
      <c r="H33">
        <f>VLOOKUP(Sorting!A30,Sorting!A1:D150,4,FALSE)</f>
        <v>6.5320907799999999</v>
      </c>
    </row>
    <row r="34" spans="1:8" x14ac:dyDescent="0.2">
      <c r="A34">
        <v>15</v>
      </c>
      <c r="B34">
        <v>1</v>
      </c>
      <c r="C34" s="29">
        <f>VLOOKUP(Sorting!A45,Sorting!A1:D150,4,FALSE)</f>
        <v>0.82044092999999996</v>
      </c>
      <c r="D34">
        <f>VLOOKUP(Sorting!A9,Sorting!A1:D150,4,FALSE)</f>
        <v>1.31814974</v>
      </c>
      <c r="E34">
        <f>VLOOKUP(Sorting!A140,Sorting!A1:D150,4,FALSE)</f>
        <v>0.73815889999999995</v>
      </c>
      <c r="F34">
        <f>VLOOKUP(Sorting!A59,Sorting!A1:D150,4,FALSE)</f>
        <v>73.620143589999998</v>
      </c>
      <c r="G34">
        <f>VLOOKUP(Sorting!A25,Sorting!A1:D150,4,FALSE)</f>
        <v>1.2845633599999999</v>
      </c>
      <c r="H34">
        <f>VLOOKUP(Sorting!A30,Sorting!A1:D150,4,FALSE)</f>
        <v>6.5320907799999999</v>
      </c>
    </row>
    <row r="35" spans="1:8" x14ac:dyDescent="0.2">
      <c r="A35">
        <v>16</v>
      </c>
      <c r="B35">
        <v>1</v>
      </c>
      <c r="C35" s="29">
        <f>VLOOKUP(Sorting!A45,Sorting!A1:D150,4,FALSE)</f>
        <v>0.82044092999999996</v>
      </c>
      <c r="D35">
        <f>VLOOKUP(Sorting!A9,Sorting!A1:D150,4,FALSE)</f>
        <v>1.31814974</v>
      </c>
      <c r="E35">
        <f>VLOOKUP(Sorting!A140,Sorting!A1:D150,4,FALSE)</f>
        <v>0.73815889999999995</v>
      </c>
      <c r="F35">
        <f>VLOOKUP(Sorting!A59,Sorting!A1:D150,4,FALSE)</f>
        <v>73.620143589999998</v>
      </c>
      <c r="G35">
        <f>VLOOKUP(Sorting!A25,Sorting!A1:D150,4,FALSE)</f>
        <v>1.2845633599999999</v>
      </c>
      <c r="H35">
        <f>VLOOKUP(Sorting!A30,Sorting!A1:D150,4,FALSE)</f>
        <v>6.5320907799999999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8"/>
  <sheetViews>
    <sheetView workbookViewId="0">
      <selection activeCell="D2" sqref="D2"/>
    </sheetView>
  </sheetViews>
  <sheetFormatPr defaultRowHeight="12.75" x14ac:dyDescent="0.2"/>
  <cols>
    <col min="1" max="1" width="22.42578125" customWidth="1"/>
    <col min="2" max="2" width="26.85546875" customWidth="1"/>
  </cols>
  <sheetData>
    <row r="1" spans="1:9" x14ac:dyDescent="0.2">
      <c r="A1" s="26" t="s">
        <v>7</v>
      </c>
      <c r="B1" s="25" t="s">
        <v>325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117</v>
      </c>
      <c r="H1" s="26" t="s">
        <v>25</v>
      </c>
      <c r="I1" s="26" t="s">
        <v>29</v>
      </c>
    </row>
    <row r="2" spans="1:9" x14ac:dyDescent="0.2">
      <c r="A2">
        <v>1</v>
      </c>
      <c r="B2" t="s">
        <v>8</v>
      </c>
      <c r="C2" s="29">
        <v>100</v>
      </c>
      <c r="D2">
        <f>ROUND(MainOperation!D2,2)</f>
        <v>82.04</v>
      </c>
      <c r="E2">
        <f>ROUND(MainOperation!E2,2)</f>
        <v>131.81</v>
      </c>
      <c r="F2">
        <f>ROUND(MainOperation!F2,2)</f>
        <v>73.819999999999993</v>
      </c>
      <c r="G2">
        <f>ROUND(MainOperation!G2,2)</f>
        <v>7362.01</v>
      </c>
      <c r="H2">
        <f>ROUND(MainOperation!H2,2)</f>
        <v>128.46</v>
      </c>
      <c r="I2">
        <f>ROUND(MainOperation!I2,2)</f>
        <v>653.21</v>
      </c>
    </row>
    <row r="3" spans="1:9" x14ac:dyDescent="0.2">
      <c r="A3">
        <v>2</v>
      </c>
      <c r="B3" t="s">
        <v>9</v>
      </c>
      <c r="C3" s="29">
        <v>80</v>
      </c>
      <c r="D3">
        <f>ROUND(MainOperation!D3,2)</f>
        <v>65.64</v>
      </c>
      <c r="E3">
        <f>ROUND(MainOperation!E3,2)</f>
        <v>105.45</v>
      </c>
      <c r="F3">
        <f>ROUND(MainOperation!F3,2)</f>
        <v>59.05</v>
      </c>
      <c r="G3">
        <f>ROUND(MainOperation!G3,2)</f>
        <v>5889.61</v>
      </c>
      <c r="H3">
        <f>ROUND(MainOperation!H3,2)</f>
        <v>102.77</v>
      </c>
      <c r="I3">
        <f>ROUND(MainOperation!I3,2)</f>
        <v>522.57000000000005</v>
      </c>
    </row>
    <row r="4" spans="1:9" x14ac:dyDescent="0.2">
      <c r="A4">
        <v>3</v>
      </c>
      <c r="B4" s="26" t="s">
        <v>11</v>
      </c>
      <c r="C4" s="29">
        <v>50</v>
      </c>
      <c r="D4">
        <f>ROUND(MainOperation!D4,2)</f>
        <v>41.02</v>
      </c>
      <c r="E4">
        <f>ROUND(MainOperation!E4,2)</f>
        <v>65.91</v>
      </c>
      <c r="F4">
        <f>ROUND(MainOperation!F4,2)</f>
        <v>36.909999999999997</v>
      </c>
      <c r="G4">
        <f>ROUND(MainOperation!G4,2)</f>
        <v>3681.01</v>
      </c>
      <c r="H4">
        <f>ROUND(MainOperation!H4,2)</f>
        <v>64.23</v>
      </c>
      <c r="I4">
        <f>ROUND(MainOperation!I4,2)</f>
        <v>326.60000000000002</v>
      </c>
    </row>
    <row r="5" spans="1:9" x14ac:dyDescent="0.2">
      <c r="A5">
        <v>4</v>
      </c>
      <c r="B5" t="s">
        <v>12</v>
      </c>
      <c r="C5" s="29">
        <v>15</v>
      </c>
      <c r="D5">
        <f>ROUND(MainOperation!D5,2)</f>
        <v>12.31</v>
      </c>
      <c r="E5">
        <f>ROUND(MainOperation!E5,2)</f>
        <v>19.77</v>
      </c>
      <c r="F5">
        <f>ROUND(MainOperation!F5,2)</f>
        <v>11.07</v>
      </c>
      <c r="G5">
        <f>ROUND(MainOperation!G5,2)</f>
        <v>1104.3</v>
      </c>
      <c r="H5">
        <f>ROUND(MainOperation!H5,2)</f>
        <v>19.27</v>
      </c>
      <c r="I5">
        <f>ROUND(MainOperation!I5,2)</f>
        <v>97.98</v>
      </c>
    </row>
    <row r="6" spans="1:9" x14ac:dyDescent="0.2">
      <c r="A6">
        <v>5</v>
      </c>
      <c r="B6" t="s">
        <v>10</v>
      </c>
      <c r="C6" s="29">
        <v>12.5</v>
      </c>
      <c r="D6">
        <f>ROUND(MainOperation!D6,2)</f>
        <v>10.26</v>
      </c>
      <c r="E6">
        <f>ROUND(MainOperation!E6,2)</f>
        <v>16.48</v>
      </c>
      <c r="F6">
        <f>ROUND(MainOperation!F6,2)</f>
        <v>9.23</v>
      </c>
      <c r="G6">
        <f>ROUND(MainOperation!G6,2)</f>
        <v>920.25</v>
      </c>
      <c r="H6">
        <f>ROUND(MainOperation!H6,2)</f>
        <v>16.059999999999999</v>
      </c>
      <c r="I6">
        <f>ROUND(MainOperation!I6,2)</f>
        <v>81.650000000000006</v>
      </c>
    </row>
    <row r="7" spans="1:9" x14ac:dyDescent="0.2">
      <c r="A7">
        <v>6</v>
      </c>
      <c r="B7" t="s">
        <v>13</v>
      </c>
      <c r="C7" s="29">
        <v>12.5</v>
      </c>
      <c r="D7">
        <f>ROUND(MainOperation!D7,2)</f>
        <v>10.26</v>
      </c>
      <c r="E7">
        <f>ROUND(MainOperation!E7,2)</f>
        <v>16.48</v>
      </c>
      <c r="F7">
        <f>ROUND(MainOperation!F7,2)</f>
        <v>9.23</v>
      </c>
      <c r="G7">
        <f>ROUND(MainOperation!G7,2)</f>
        <v>920.25</v>
      </c>
      <c r="H7">
        <f>ROUND(MainOperation!H7,2)</f>
        <v>16.059999999999999</v>
      </c>
      <c r="I7">
        <f>ROUND(MainOperation!I7,2)</f>
        <v>81.650000000000006</v>
      </c>
    </row>
    <row r="8" spans="1:9" x14ac:dyDescent="0.2">
      <c r="A8">
        <v>7</v>
      </c>
      <c r="B8" t="s">
        <v>14</v>
      </c>
      <c r="C8" s="29">
        <v>12.5</v>
      </c>
      <c r="D8">
        <f>ROUND(MainOperation!D8,2)</f>
        <v>10.26</v>
      </c>
      <c r="E8">
        <f>ROUND(MainOperation!E8,2)</f>
        <v>16.48</v>
      </c>
      <c r="F8">
        <f>ROUND(MainOperation!F8,2)</f>
        <v>9.23</v>
      </c>
      <c r="G8">
        <f>ROUND(MainOperation!G8,2)</f>
        <v>920.25</v>
      </c>
      <c r="H8">
        <f>ROUND(MainOperation!H8,2)</f>
        <v>16.059999999999999</v>
      </c>
      <c r="I8">
        <f>ROUND(MainOperation!I8,2)</f>
        <v>81.650000000000006</v>
      </c>
    </row>
    <row r="9" spans="1:9" x14ac:dyDescent="0.2">
      <c r="A9">
        <v>8</v>
      </c>
      <c r="B9" t="s">
        <v>15</v>
      </c>
      <c r="C9" s="29">
        <v>12.5</v>
      </c>
      <c r="D9">
        <f>ROUND(MainOperation!D9,2)</f>
        <v>10.26</v>
      </c>
      <c r="E9">
        <f>ROUND(MainOperation!E9,2)</f>
        <v>16.48</v>
      </c>
      <c r="F9">
        <f>ROUND(MainOperation!F9,2)</f>
        <v>9.23</v>
      </c>
      <c r="G9">
        <f>ROUND(MainOperation!G9,2)</f>
        <v>920.25</v>
      </c>
      <c r="H9">
        <f>ROUND(MainOperation!H9,2)</f>
        <v>16.059999999999999</v>
      </c>
      <c r="I9">
        <f>ROUND(MainOperation!I9,2)</f>
        <v>81.650000000000006</v>
      </c>
    </row>
    <row r="10" spans="1:9" x14ac:dyDescent="0.2">
      <c r="A10">
        <v>9</v>
      </c>
      <c r="B10" t="s">
        <v>16</v>
      </c>
      <c r="C10" s="29">
        <v>10</v>
      </c>
      <c r="D10">
        <f>ROUND(MainOperation!D10,2)</f>
        <v>8.1999999999999993</v>
      </c>
      <c r="E10">
        <f>ROUND(MainOperation!E10,2)</f>
        <v>13.18</v>
      </c>
      <c r="F10">
        <f>ROUND(MainOperation!F10,2)</f>
        <v>7.38</v>
      </c>
      <c r="G10">
        <f>ROUND(MainOperation!G10,2)</f>
        <v>736.2</v>
      </c>
      <c r="H10">
        <f>ROUND(MainOperation!H10,2)</f>
        <v>12.85</v>
      </c>
      <c r="I10">
        <f>ROUND(MainOperation!I10,2)</f>
        <v>65.319999999999993</v>
      </c>
    </row>
    <row r="11" spans="1:9" x14ac:dyDescent="0.2">
      <c r="A11">
        <v>10</v>
      </c>
      <c r="B11" t="s">
        <v>17</v>
      </c>
      <c r="C11" s="29">
        <v>10</v>
      </c>
      <c r="D11">
        <f>ROUND(MainOperation!D11,2)</f>
        <v>8.1999999999999993</v>
      </c>
      <c r="E11">
        <f>ROUND(MainOperation!E11,2)</f>
        <v>13.18</v>
      </c>
      <c r="F11">
        <f>ROUND(MainOperation!F11,2)</f>
        <v>7.38</v>
      </c>
      <c r="G11">
        <f>ROUND(MainOperation!G11,2)</f>
        <v>736.2</v>
      </c>
      <c r="H11">
        <f>ROUND(MainOperation!H11,2)</f>
        <v>12.85</v>
      </c>
      <c r="I11">
        <f>ROUND(MainOperation!I11,2)</f>
        <v>65.319999999999993</v>
      </c>
    </row>
    <row r="12" spans="1:9" x14ac:dyDescent="0.2">
      <c r="A12">
        <v>11</v>
      </c>
      <c r="B12" t="s">
        <v>18</v>
      </c>
      <c r="C12" s="29">
        <v>10</v>
      </c>
      <c r="D12">
        <f>ROUND(MainOperation!D12,2)</f>
        <v>8.1999999999999993</v>
      </c>
      <c r="E12">
        <f>ROUND(MainOperation!E12,2)</f>
        <v>13.18</v>
      </c>
      <c r="F12">
        <f>ROUND(MainOperation!F12,2)</f>
        <v>7.38</v>
      </c>
      <c r="G12">
        <f>ROUND(MainOperation!G12,2)</f>
        <v>736.2</v>
      </c>
      <c r="H12">
        <f>ROUND(MainOperation!H12,2)</f>
        <v>12.85</v>
      </c>
      <c r="I12">
        <f>ROUND(MainOperation!I12,2)</f>
        <v>65.319999999999993</v>
      </c>
    </row>
    <row r="13" spans="1:9" x14ac:dyDescent="0.2">
      <c r="A13">
        <v>12</v>
      </c>
      <c r="B13" t="s">
        <v>19</v>
      </c>
      <c r="C13" s="29">
        <v>10</v>
      </c>
      <c r="D13">
        <f>ROUND(MainOperation!D13,2)</f>
        <v>8.1999999999999993</v>
      </c>
      <c r="E13">
        <f>ROUND(MainOperation!E13,2)</f>
        <v>13.18</v>
      </c>
      <c r="F13">
        <f>ROUND(MainOperation!F13,2)</f>
        <v>7.38</v>
      </c>
      <c r="G13">
        <f>ROUND(MainOperation!G13,2)</f>
        <v>736.2</v>
      </c>
      <c r="H13">
        <f>ROUND(MainOperation!H13,2)</f>
        <v>12.85</v>
      </c>
      <c r="I13">
        <f>ROUND(MainOperation!I13,2)</f>
        <v>65.319999999999993</v>
      </c>
    </row>
    <row r="14" spans="1:9" x14ac:dyDescent="0.2">
      <c r="A14">
        <v>13</v>
      </c>
      <c r="B14" t="s">
        <v>20</v>
      </c>
      <c r="C14" s="29">
        <v>7.5</v>
      </c>
      <c r="D14">
        <f>ROUND(MainOperation!D14,2)</f>
        <v>6.15</v>
      </c>
      <c r="E14">
        <f>ROUND(MainOperation!E14,2)</f>
        <v>9.89</v>
      </c>
      <c r="F14">
        <f>ROUND(MainOperation!F14,2)</f>
        <v>5.54</v>
      </c>
      <c r="G14">
        <f>ROUND(MainOperation!G14,2)</f>
        <v>552.15</v>
      </c>
      <c r="H14">
        <f>ROUND(MainOperation!H14,2)</f>
        <v>9.6300000000000008</v>
      </c>
      <c r="I14">
        <f>ROUND(MainOperation!I14,2)</f>
        <v>48.99</v>
      </c>
    </row>
    <row r="15" spans="1:9" x14ac:dyDescent="0.2">
      <c r="A15">
        <v>14</v>
      </c>
      <c r="B15" t="s">
        <v>21</v>
      </c>
      <c r="C15" s="29">
        <v>7.5</v>
      </c>
      <c r="D15">
        <f>ROUND(MainOperation!D15,2)</f>
        <v>6.15</v>
      </c>
      <c r="E15">
        <f>ROUND(MainOperation!E15,2)</f>
        <v>9.89</v>
      </c>
      <c r="F15">
        <f>ROUND(MainOperation!F15,2)</f>
        <v>5.54</v>
      </c>
      <c r="G15">
        <f>ROUND(MainOperation!G15,2)</f>
        <v>552.15</v>
      </c>
      <c r="H15">
        <f>ROUND(MainOperation!H15,2)</f>
        <v>9.6300000000000008</v>
      </c>
      <c r="I15">
        <f>ROUND(MainOperation!I15,2)</f>
        <v>48.99</v>
      </c>
    </row>
    <row r="16" spans="1:9" x14ac:dyDescent="0.2">
      <c r="A16">
        <v>15</v>
      </c>
      <c r="B16" t="s">
        <v>22</v>
      </c>
      <c r="C16" s="29">
        <v>7.5</v>
      </c>
      <c r="D16">
        <f>ROUND(MainOperation!D16,2)</f>
        <v>6.15</v>
      </c>
      <c r="E16">
        <f>ROUND(MainOperation!E16,2)</f>
        <v>9.89</v>
      </c>
      <c r="F16">
        <f>ROUND(MainOperation!F16,2)</f>
        <v>5.54</v>
      </c>
      <c r="G16">
        <f>ROUND(MainOperation!G16,2)</f>
        <v>552.15</v>
      </c>
      <c r="H16">
        <f>ROUND(MainOperation!H16,2)</f>
        <v>9.6300000000000008</v>
      </c>
      <c r="I16">
        <f>ROUND(MainOperation!I16,2)</f>
        <v>48.99</v>
      </c>
    </row>
    <row r="17" spans="1:9" x14ac:dyDescent="0.2">
      <c r="A17">
        <v>16</v>
      </c>
      <c r="B17" t="s">
        <v>23</v>
      </c>
      <c r="C17" s="29">
        <v>7.5</v>
      </c>
      <c r="D17">
        <f>ROUND(MainOperation!D17,2)</f>
        <v>6.15</v>
      </c>
      <c r="E17">
        <f>ROUND(MainOperation!E17,2)</f>
        <v>9.89</v>
      </c>
      <c r="F17">
        <f>ROUND(MainOperation!F17,2)</f>
        <v>5.54</v>
      </c>
      <c r="G17">
        <f>ROUND(MainOperation!G17,2)</f>
        <v>552.15</v>
      </c>
      <c r="H17">
        <f>ROUND(MainOperation!H17,2)</f>
        <v>9.6300000000000008</v>
      </c>
      <c r="I17">
        <f>ROUND(MainOperation!I17,2)</f>
        <v>48.99</v>
      </c>
    </row>
    <row r="18" spans="1:9" x14ac:dyDescent="0.2">
      <c r="B18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Product Price List</vt:lpstr>
      <vt:lpstr>RawData1</vt:lpstr>
      <vt:lpstr>Indexnumbers</vt:lpstr>
      <vt:lpstr>Sorting</vt:lpstr>
      <vt:lpstr>MainOperation</vt:lpstr>
      <vt:lpstr>RoundOff</vt:lpstr>
      <vt:lpstr>'Product Price List'!Print_Area</vt:lpstr>
      <vt:lpstr>Sorting!usd</vt:lpstr>
      <vt:lpstr>RawData1!usd_1</vt:lpstr>
      <vt:lpstr>Sorting!usd_1</vt:lpstr>
      <vt:lpstr>Sorting!usd_10</vt:lpstr>
      <vt:lpstr>Sorting!usd_11</vt:lpstr>
      <vt:lpstr>Sorting!usd_12</vt:lpstr>
      <vt:lpstr>Sorting!usd_13</vt:lpstr>
      <vt:lpstr>Sorting!usd_2</vt:lpstr>
      <vt:lpstr>Sorting!usd_3</vt:lpstr>
      <vt:lpstr>Sorting!usd_4</vt:lpstr>
      <vt:lpstr>Sorting!usd_5</vt:lpstr>
      <vt:lpstr>Sorting!usd_6</vt:lpstr>
      <vt:lpstr>Sorting!usd_7</vt:lpstr>
      <vt:lpstr>Sorting!usd_8</vt:lpstr>
      <vt:lpstr>Sorting!usd_9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ismail - [2010]</cp:lastModifiedBy>
  <cp:lastPrinted>2003-07-17T22:55:15Z</cp:lastPrinted>
  <dcterms:created xsi:type="dcterms:W3CDTF">2002-04-04T00:24:44Z</dcterms:created>
  <dcterms:modified xsi:type="dcterms:W3CDTF">2020-12-25T09:27:51Z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TC010219731033</vt:lpwstr>
  </property>
</Properties>
</file>